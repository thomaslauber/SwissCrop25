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eo-nas1\eoa-share\projects\020_crop1990\SwissCrop25\"/>
    </mc:Choice>
  </mc:AlternateContent>
  <xr:revisionPtr revIDLastSave="0" documentId="13_ncr:1_{1D4681DD-B091-4894-86BE-8CB01B7C3C51}" xr6:coauthVersionLast="47" xr6:coauthVersionMax="47" xr10:uidLastSave="{00000000-0000-0000-0000-000000000000}"/>
  <bookViews>
    <workbookView xWindow="-9570" yWindow="-21710" windowWidth="38620" windowHeight="21100" xr2:uid="{5498638F-E220-456E-9BA4-24AE41F59FDF}"/>
  </bookViews>
  <sheets>
    <sheet name="label_sheet" sheetId="2" r:id="rId1"/>
    <sheet name="hcat_remapping" sheetId="7" r:id="rId2"/>
    <sheet name="level_areas" sheetId="6" r:id="rId3"/>
  </sheets>
  <definedNames>
    <definedName name="_xlnm._FilterDatabase" localSheetId="0" hidden="1">label_sheet!$P$1:$P$175</definedName>
    <definedName name="ExterneDaten_1" localSheetId="0" hidden="1">label_sheet!$A$1:$E$183</definedName>
  </definedNames>
  <calcPr calcId="191029"/>
  <pivotCaches>
    <pivotCache cacheId="1" r:id="rId4"/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5" i="2" l="1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4" i="2"/>
  <c r="P123" i="2"/>
  <c r="P122" i="2"/>
  <c r="P113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4" i="2"/>
  <c r="P43" i="2"/>
  <c r="P42" i="2"/>
  <c r="P41" i="2"/>
  <c r="P40" i="2"/>
  <c r="P39" i="2"/>
  <c r="P38" i="2"/>
  <c r="P37" i="2"/>
  <c r="P36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9" i="2"/>
  <c r="P8" i="2"/>
  <c r="P7" i="2"/>
  <c r="P6" i="2"/>
  <c r="P5" i="2"/>
  <c r="P4" i="2"/>
  <c r="P3" i="2"/>
  <c r="P162" i="2" l="1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26" i="2"/>
  <c r="P127" i="2"/>
  <c r="P128" i="2"/>
  <c r="P35" i="2"/>
  <c r="P45" i="2"/>
  <c r="P92" i="2"/>
  <c r="P108" i="2"/>
  <c r="P109" i="2"/>
  <c r="P110" i="2"/>
  <c r="P111" i="2"/>
  <c r="P112" i="2"/>
  <c r="P114" i="2"/>
  <c r="P115" i="2"/>
  <c r="P116" i="2"/>
  <c r="P117" i="2"/>
  <c r="P118" i="2"/>
  <c r="P119" i="2"/>
  <c r="P120" i="2"/>
  <c r="P121" i="2"/>
  <c r="P125" i="2"/>
  <c r="P2" i="2"/>
  <c r="P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9D772-22EE-40EF-B8C5-24BCBBE8D72B}" keepAlive="1" name="Abfrage - label_sheet" description="Verbindung mit der Abfrage 'label_sheet' in der Arbeitsmappe." type="5" refreshedVersion="7" background="1" saveData="1">
    <dbPr connection="Provider=Microsoft.Mashup.OleDb.1;Data Source=$Workbook$;Location=label_sheet;Extended Properties=&quot;&quot;" command="SELECT * FROM [label_sheet]"/>
  </connection>
</connections>
</file>

<file path=xl/sharedStrings.xml><?xml version="1.0" encoding="utf-8"?>
<sst xmlns="http://schemas.openxmlformats.org/spreadsheetml/2006/main" count="2204" uniqueCount="880">
  <si>
    <t>LNF_code</t>
  </si>
  <si>
    <t>Sommergerste</t>
  </si>
  <si>
    <t>Wintergerste</t>
  </si>
  <si>
    <t>Winter barley</t>
  </si>
  <si>
    <t>Hafer</t>
  </si>
  <si>
    <t>Oat</t>
  </si>
  <si>
    <t>Triticale</t>
  </si>
  <si>
    <t>Mischel Futtergetreide</t>
  </si>
  <si>
    <t>Futterweizen gemäss Sortenliste swiss granum</t>
  </si>
  <si>
    <t>Körnermais</t>
  </si>
  <si>
    <t>Emmer, Einkorn</t>
  </si>
  <si>
    <t>Sommerweizen (ohne Futterweizen der Sortenliste swiss granum)</t>
  </si>
  <si>
    <t>Winterweizen (ohne Futterweizen der Sortenliste swiss granum)</t>
  </si>
  <si>
    <t>Roggen</t>
  </si>
  <si>
    <t>Rye</t>
  </si>
  <si>
    <t>Mischel Brotgetreide</t>
  </si>
  <si>
    <t>Dinkel</t>
  </si>
  <si>
    <t>Spelt</t>
  </si>
  <si>
    <t>Saatmais (Vertragsanbau)</t>
  </si>
  <si>
    <t>Silo- und Grünmais</t>
  </si>
  <si>
    <t>Zuckerrüben</t>
  </si>
  <si>
    <t>Sugar beets</t>
  </si>
  <si>
    <t>Futterrüben</t>
  </si>
  <si>
    <t>Beets</t>
  </si>
  <si>
    <t>Kartoffeln</t>
  </si>
  <si>
    <t>Potatoes</t>
  </si>
  <si>
    <t>Pflanzkartoffeln (Vertragsanbau)</t>
  </si>
  <si>
    <t>Sommerraps zur Speiseölgewinnung</t>
  </si>
  <si>
    <t>Winterraps zur Speiseölgewinnung</t>
  </si>
  <si>
    <t>Soja</t>
  </si>
  <si>
    <t>Sonnenblumen zur Speiseölgewinnung</t>
  </si>
  <si>
    <t>Lein</t>
  </si>
  <si>
    <t>Hanf</t>
  </si>
  <si>
    <t>Hemp</t>
  </si>
  <si>
    <t>Peas</t>
  </si>
  <si>
    <t>Lupine</t>
  </si>
  <si>
    <t>Ölkürbisse</t>
  </si>
  <si>
    <t>Tabak</t>
  </si>
  <si>
    <t>Tobacco</t>
  </si>
  <si>
    <t>Hirse</t>
  </si>
  <si>
    <t>Sorghum</t>
  </si>
  <si>
    <t>Getreide siliert</t>
  </si>
  <si>
    <t>Leindotter</t>
  </si>
  <si>
    <t>Einjährige Freilandgemüse, ohne Konservengemüse</t>
  </si>
  <si>
    <t>Vegetables</t>
  </si>
  <si>
    <t>Freiland-Konservengemüse</t>
  </si>
  <si>
    <t>Wurzeln der Treibzichorie</t>
  </si>
  <si>
    <t>Buchweizen</t>
  </si>
  <si>
    <t>Buckwheat</t>
  </si>
  <si>
    <t>Einjährige Beeren (z.B. Erdbeeren)</t>
  </si>
  <si>
    <t>Annual berries (e.g., strawberries)</t>
  </si>
  <si>
    <t>Einjährige nachwachsende Rohstoffe (Kenaf, usw.)</t>
  </si>
  <si>
    <t>Einjährige Gewürz- und Medizinalpflanzen</t>
  </si>
  <si>
    <t>Annual spice and medicinal plants</t>
  </si>
  <si>
    <t>Einjährige gärtnerische Freilandkulturen (Blumen, Rollrasen usw.)</t>
  </si>
  <si>
    <t>Ackerschonstreifen</t>
  </si>
  <si>
    <t>Grassland</t>
  </si>
  <si>
    <t>Buntbrache</t>
  </si>
  <si>
    <t>Fallow</t>
  </si>
  <si>
    <t>Rotationsbrache</t>
  </si>
  <si>
    <t>Saum auf Ackerflächen</t>
  </si>
  <si>
    <t>Meadow</t>
  </si>
  <si>
    <t>Mohn</t>
  </si>
  <si>
    <t>Poppy</t>
  </si>
  <si>
    <t>Saflor</t>
  </si>
  <si>
    <t>Linsen</t>
  </si>
  <si>
    <t>Senf</t>
  </si>
  <si>
    <t>Mustard</t>
  </si>
  <si>
    <t>Winterraps als nachwachsender Rohstoff</t>
  </si>
  <si>
    <t>Sonnenblumen als nachwachsender Rohstoff</t>
  </si>
  <si>
    <t>Offene Ackerfläche, beitragsberechtigt (regionsspezifische Biodiversitätsförderfläche)</t>
  </si>
  <si>
    <t>Übrige offene Ackerfläche, beitragsberechtigt</t>
  </si>
  <si>
    <t>Other open arable land, eligible</t>
  </si>
  <si>
    <t>Übrige offene Ackerfläche, nicht beitragsberechtigt</t>
  </si>
  <si>
    <t>Other open arable land, not eligible</t>
  </si>
  <si>
    <t>Kunstwiesen (ohne Weiden)</t>
  </si>
  <si>
    <t>Übrige Kunstwiese, beitragsberechtigt (z.B. Schweineweide, Geflügelweide)</t>
  </si>
  <si>
    <t>Extensiv genutzte Wiesen (ohne Weiden)</t>
  </si>
  <si>
    <t>Wenig intensiv genutzte Wiesen (ohne Weiden)</t>
  </si>
  <si>
    <t>Übrige Dauerwiesen (ohne Weiden)</t>
  </si>
  <si>
    <t>Weiden (Heimweiden, übrige Weiden ohne Sömmerungsweiden)</t>
  </si>
  <si>
    <t>Pasture</t>
  </si>
  <si>
    <t>Extensiv genutzte Weiden</t>
  </si>
  <si>
    <t>Waldweiden (ohne bewaldete Fläche)</t>
  </si>
  <si>
    <t>Heuwiesen im Sömmerungsgebiet, Übrige Wiesen</t>
  </si>
  <si>
    <t>Heuwiesen im Sömmerungsgebiet, Typ extensiv genutzte Wiese</t>
  </si>
  <si>
    <t>Futterleguminosen für die Samenproduktion (Vertragsanbau)</t>
  </si>
  <si>
    <t>Futtergräser für die Samenproduktion (Vertragsanbau)</t>
  </si>
  <si>
    <t>Uferwiesen entlang von Fliessgewässern (ohne Weiden)</t>
  </si>
  <si>
    <t>Übrige Grünfläche (Dauergrünfläche), beitragsberechtigt</t>
  </si>
  <si>
    <t>Übrige Grünfläche (Dauergrünflächen), nicht beitragsberechtigt</t>
  </si>
  <si>
    <t>Reben</t>
  </si>
  <si>
    <t>Vines</t>
  </si>
  <si>
    <t>Obstanlagen (Äpfel)</t>
  </si>
  <si>
    <t>Apples</t>
  </si>
  <si>
    <t>Obstanlagen (Birnen)</t>
  </si>
  <si>
    <t>Pears</t>
  </si>
  <si>
    <t>Obstanlagen (Steinobst)</t>
  </si>
  <si>
    <t>Mehrjährige Beeren</t>
  </si>
  <si>
    <t>Perennial berries</t>
  </si>
  <si>
    <t>Mehrjährige Gewürz- und Medizinalpflanzen</t>
  </si>
  <si>
    <t>Perennial spice and medicinal plants</t>
  </si>
  <si>
    <t>Mehrjährige nachwachsende Rohstoffe (Chinaschilf, usw.)</t>
  </si>
  <si>
    <t>Hopfen</t>
  </si>
  <si>
    <t>Hops</t>
  </si>
  <si>
    <t>Rhabarber</t>
  </si>
  <si>
    <t>Spargel</t>
  </si>
  <si>
    <t>Christbäume</t>
  </si>
  <si>
    <t>Christmas trees</t>
  </si>
  <si>
    <t>Baumschule von Forstpflanzen ausserhalb der Forstzone</t>
  </si>
  <si>
    <t>Ziersträucher, Ziergehölze und Zierstauden</t>
  </si>
  <si>
    <t>Übrige Baumschulen (Rosen, Früchte, usw.)</t>
  </si>
  <si>
    <t>Rebflächen mit natürlicher Artenvielfalt</t>
  </si>
  <si>
    <t>Trüffelanlagen</t>
  </si>
  <si>
    <t>Maulbeerbaumanlagen (Fütterung Seidenraupen)</t>
  </si>
  <si>
    <t>Mehrjährige gärtnerische Freilandkulturen (nicht im Gewächshaus)</t>
  </si>
  <si>
    <t>Baumschulen von Reben</t>
  </si>
  <si>
    <t>Andere Obstanlagen (Kiwis, Holunder usw.)</t>
  </si>
  <si>
    <t>Reben (regionsspezifische Biodiversitätsförderflächen)</t>
  </si>
  <si>
    <t>Übrige Flächen mit Dauerkulturen, beitragsberechtigt</t>
  </si>
  <si>
    <t>Übrige Flächen mit Dauerkulturen, nicht beitragsberechtigt</t>
  </si>
  <si>
    <t>Gemüsekulturen in Gewächshäusern mit festem Fundament</t>
  </si>
  <si>
    <t>Übrige Spezialkulturen in Gewächshäusern mit festem Fundament</t>
  </si>
  <si>
    <t>Gemüsekulturen in geschütztem Anbau ohne festes Fundament</t>
  </si>
  <si>
    <t>Übrige Spezialkulturen in geschütztem Anbau ohne festes Fundament</t>
  </si>
  <si>
    <t>Gärtnerische Kulturen in geschütztem Anbau ohne festes Fundament</t>
  </si>
  <si>
    <t>Übrige Kulturen in geschütztem Anbau ohne festes Fundament, beitragsberechtigt</t>
  </si>
  <si>
    <t>Übrige Kulturen in geschütztem Anbau mit festem Fundament</t>
  </si>
  <si>
    <t>Übrige Kulturen in geschütztem Anbau ohne festes Fundament, nicht beitragsberechtigt</t>
  </si>
  <si>
    <t>Hecken-, Feld- und Ufergehölze (mit Krautsaum)</t>
  </si>
  <si>
    <t>Hecken-, Feld- und Ufergehölze (mit Pufferstreifen)</t>
  </si>
  <si>
    <t>Hecken-, Feld- und Ufergehölze (mit Pufferstreifen) (regionsspezifische Biodiversitätsförderfläche)</t>
  </si>
  <si>
    <t>Wald</t>
  </si>
  <si>
    <t>Forest</t>
  </si>
  <si>
    <t>Übrige unproduktive Flächen (z.B. gemulchte Flächen, stark verunkrautete Flächen, Hecken ohne Pufferstreifen)</t>
  </si>
  <si>
    <t>Flächen ohne landwirtschaftliche Hauptzweckbestimmung (erschlossenes Bauland, Spiel-, Reit-, Camping-, Golf-, Flug- und Militärplätze oder ausgemarchte Bereiche von Eisenbahnen, öffentlichen Strassen und Gewässern)</t>
  </si>
  <si>
    <t>Wassergräben, Tümpel, Teiche</t>
  </si>
  <si>
    <t>Ruderalflächen, Steinhaufen und -wälle</t>
  </si>
  <si>
    <t>Trockenmauern</t>
  </si>
  <si>
    <t>Unbefestigte, natürliche Wege</t>
  </si>
  <si>
    <t>Regionsspezifische Biodiversitätsförderflächen</t>
  </si>
  <si>
    <t>Region-specific biodiversity promotion areas</t>
  </si>
  <si>
    <t>Hausgärten</t>
  </si>
  <si>
    <t>Landwirtschaftliche Produktion in Gebäuden (z. B. Champignon, Brüsseler)</t>
  </si>
  <si>
    <t>Sömmerungsweiden</t>
  </si>
  <si>
    <t>Winter Rapeseed</t>
  </si>
  <si>
    <t>Winter Wheat</t>
  </si>
  <si>
    <t>Winter Barley</t>
  </si>
  <si>
    <t>Lentils</t>
  </si>
  <si>
    <t>Forest Pasture</t>
  </si>
  <si>
    <t>Greenhouses</t>
  </si>
  <si>
    <t>Asparagus</t>
  </si>
  <si>
    <t>Reis</t>
  </si>
  <si>
    <t>Rice</t>
  </si>
  <si>
    <t>Quinoa</t>
  </si>
  <si>
    <t>Hanf zur Nutzung der Samen</t>
  </si>
  <si>
    <t>Hanf zur Fasernutzung</t>
  </si>
  <si>
    <t>Anderer Hanf</t>
  </si>
  <si>
    <t>Übrige offene Ackerfläche, nicht beitragsberechtigt (regionsspezifische Biodiversitätsförderfläche)</t>
  </si>
  <si>
    <t>Heuwiesen im Sömmerungsgebiet, Typ wenig intensiv genutzte Wiese</t>
  </si>
  <si>
    <t>Übrige Dauerweiden, beitragsberechtigt aggregiert</t>
  </si>
  <si>
    <t>Regionsspezifische Biodiversitätsförderflächen (Weiden)</t>
  </si>
  <si>
    <t>Regionsspezifische Biodiversitätsförderfläche (Grünflächen ohne Weiden)</t>
  </si>
  <si>
    <t>Pilze (Freiland)</t>
  </si>
  <si>
    <t>Permakultur</t>
  </si>
  <si>
    <t>Obstanlagen aggregiert</t>
  </si>
  <si>
    <t>Permaculture</t>
  </si>
  <si>
    <t>Übrige Dauerkulturen, beitragsberechtigt, aggregiert</t>
  </si>
  <si>
    <t>Pilze in geschütztem Anbau mit festem Fundament</t>
  </si>
  <si>
    <t>Kulturen in ganzjährig geschütztem Anbau, beitragsberechtigt aggregiert</t>
  </si>
  <si>
    <t>Heuwiesen mit Zufütterung während der Sömmerung</t>
  </si>
  <si>
    <t>Streueflächen im Sömmerungsgebiet</t>
  </si>
  <si>
    <t>Gemeinschaftsweiden</t>
  </si>
  <si>
    <t>Less Intensive Meadow</t>
  </si>
  <si>
    <t>Intensive Meadow</t>
  </si>
  <si>
    <t>Extensive Meadow</t>
  </si>
  <si>
    <t>Extensive Pasture</t>
  </si>
  <si>
    <t>Intensive Pasture</t>
  </si>
  <si>
    <t>True</t>
  </si>
  <si>
    <t>Sugar Beets</t>
  </si>
  <si>
    <t>Stone Fruit</t>
  </si>
  <si>
    <t>Special Crops</t>
  </si>
  <si>
    <t>Other Tree Crops</t>
  </si>
  <si>
    <t>Unproductive Area</t>
  </si>
  <si>
    <t>Other Cereals</t>
  </si>
  <si>
    <t>Ley</t>
  </si>
  <si>
    <t>Rapeseed</t>
  </si>
  <si>
    <t>Zeilenbeschriftungen</t>
  </si>
  <si>
    <t>(Leer)</t>
  </si>
  <si>
    <t>Gesamtergebnis</t>
  </si>
  <si>
    <t>Root Crops</t>
  </si>
  <si>
    <t>Tree Crops</t>
  </si>
  <si>
    <t>Summer Cereals</t>
  </si>
  <si>
    <t>Winter Cereals</t>
  </si>
  <si>
    <t>Water</t>
  </si>
  <si>
    <t>Hartweizen</t>
  </si>
  <si>
    <t>Durum wheat</t>
  </si>
  <si>
    <t>Trockenreis</t>
  </si>
  <si>
    <t>Nassreis</t>
  </si>
  <si>
    <t>Kichererbsen</t>
  </si>
  <si>
    <t>Chickpeas</t>
  </si>
  <si>
    <t>Hirse zur Körnergewinnung</t>
  </si>
  <si>
    <t>Hirse zur Nutzung ganze Pflanze</t>
  </si>
  <si>
    <t>Sorghum zur Körnergewinnung</t>
  </si>
  <si>
    <t>Sorghum zur Nutzung ganze Pflanze</t>
  </si>
  <si>
    <t>Übrige Baumschulen (Rosen, Zierstauden, usw.)</t>
  </si>
  <si>
    <t>Beerenkulturen in Gewächshäusern mit festem Fundament</t>
  </si>
  <si>
    <t>Gärtnerische Kulturen in Gewächshäusern mit festem Fundament</t>
  </si>
  <si>
    <t>Silage Cereals</t>
  </si>
  <si>
    <t>Übrige Ackerfläche</t>
  </si>
  <si>
    <t>Crop_DE</t>
  </si>
  <si>
    <t>Crop_FR</t>
  </si>
  <si>
    <t>Crop_IT</t>
  </si>
  <si>
    <t>Sommerraps als nachwachsender Rohstoff</t>
  </si>
  <si>
    <t>Pois chiches</t>
  </si>
  <si>
    <t>Tabac</t>
  </si>
  <si>
    <t>Millet</t>
  </si>
  <si>
    <t>Céréales ensilées</t>
  </si>
  <si>
    <t>Cameline</t>
  </si>
  <si>
    <t>Cultures maraîchères de plein champ annuelles (sauf les légumes de conserve)</t>
  </si>
  <si>
    <t>Légumes de conserve cultivés en plein champ</t>
  </si>
  <si>
    <t>Racines de chicorée</t>
  </si>
  <si>
    <t>Sarrasin</t>
  </si>
  <si>
    <t>Sorgho</t>
  </si>
  <si>
    <t>Autres terres assolées</t>
  </si>
  <si>
    <t>Baies annuelles (p.ex. fraises)</t>
  </si>
  <si>
    <t>Matières premières renouvelables annuelles (kénaf, etc.)</t>
  </si>
  <si>
    <t>Plantes aromatiques et médicinales annuelles</t>
  </si>
  <si>
    <t>Cultures horticoles annuelles de plein champ (fleurs, gazon en rouleaux, etc.)</t>
  </si>
  <si>
    <t>Bande culturale extensive</t>
  </si>
  <si>
    <t>Jachère florale</t>
  </si>
  <si>
    <t>Jachère tournante</t>
  </si>
  <si>
    <t>Ourlet sur terres assolées</t>
  </si>
  <si>
    <t>Pavot</t>
  </si>
  <si>
    <t>Carthame</t>
  </si>
  <si>
    <t>Lentilles</t>
  </si>
  <si>
    <t>Méteil de haricots, de vesces, de pois, de pois chiches et de lupins avec des céréales ou de la caméline, au moins 30 % de légumineuses lors de la récolte (pour la production de grains)</t>
  </si>
  <si>
    <t>Méteil de lentilles avec des céréales ou de la caméline, au moins 30 % de lentilles lors de la récolte (pour la production de grains)</t>
  </si>
  <si>
    <t>avec des céréales ou de la caméline, au moins 30 % de lentilles lors de la récolte (pour la production de grains)</t>
  </si>
  <si>
    <t>Moutarde</t>
  </si>
  <si>
    <t>Chanvre pour l’utilisation des graines</t>
  </si>
  <si>
    <t>Chanvre pour l’utilisation des fibres</t>
  </si>
  <si>
    <t>Autre chanvre</t>
  </si>
  <si>
    <t>Millet grains</t>
  </si>
  <si>
    <t>Millet plante entière</t>
  </si>
  <si>
    <t>Sorgho grains</t>
  </si>
  <si>
    <t>Sorgho plante entière</t>
  </si>
  <si>
    <t>Colza de printemps comme matière première renouvelable</t>
  </si>
  <si>
    <t>Colza d’automne comme matière première renouvelable</t>
  </si>
  <si>
    <t>Tournesol comme matière première renouvelable</t>
  </si>
  <si>
    <t>Terres ouvertes donnant droit aux contributions (surfaces de promotion de la biodiversité spécifiques à la région)</t>
  </si>
  <si>
    <t>Autres terres ouvertes ne donnant pas droit aux contributions (surfaces de promotion de la biodiversité spécifiques à la région)</t>
  </si>
  <si>
    <t>Autres terres ouvertes avec contributions</t>
  </si>
  <si>
    <t>Autres terres ouvertes sans contributions</t>
  </si>
  <si>
    <t>Prairies artificielles (sans les pâturages)</t>
  </si>
  <si>
    <t>Autres prairies artificielles donnant droit aux contributions (p.ex. pâturages pour porcs et volaille)</t>
  </si>
  <si>
    <t>Prairies extensives (sans les pâturages)</t>
  </si>
  <si>
    <t>Prairies peu intensives (sans les pâturages)</t>
  </si>
  <si>
    <t>Autres prairies permanentes (sans les pâturages)</t>
  </si>
  <si>
    <t>Pâturages (pâturages attenants à la ferme, autres pâturages sauf les pâturages d’estivage)</t>
  </si>
  <si>
    <t>Pâturages extensifs</t>
  </si>
  <si>
    <t>Pâturages boisés (sauf surfaces boisées)</t>
  </si>
  <si>
    <t>Prairies de fauche en région d’estivage, autres</t>
  </si>
  <si>
    <t>Prairies de fauche en région d’estivage, type prairie extensive</t>
  </si>
  <si>
    <t>Prairies de fauche en région d’estivage, type prairie peu intensive</t>
  </si>
  <si>
    <t>Légumineuses fourragères destinées à la production de semences (contrat de culture)</t>
  </si>
  <si>
    <t>Graminées fourragères destinées à la production de semences (contrat de culture)</t>
  </si>
  <si>
    <t>Prairies riveraines d’un cours d’eau (sauf les pâturages)</t>
  </si>
  <si>
    <t>Prairies riveraines (sauf les pâturages)</t>
  </si>
  <si>
    <t>Autres prairies permanentes, avec contributions, agrégée</t>
  </si>
  <si>
    <t>Autres pâturages permanentes, avec contributions, agrégée</t>
  </si>
  <si>
    <t>Surfaces de promotion de la biodiversité spécifiques à la région (pâturages)</t>
  </si>
  <si>
    <t>Surfaces de promotion de la biodiversité spécifiques à la région (Surface herbagère, sauf les pâturages)</t>
  </si>
  <si>
    <t>Autres surfaces herbagères (surface herbagère permanente) avec contributions</t>
  </si>
  <si>
    <t>Autres surfaces herbagères (surface herbagère permanente) sans contributions</t>
  </si>
  <si>
    <t>Orge de printemps</t>
  </si>
  <si>
    <t>Orge d’automne</t>
  </si>
  <si>
    <t>Avoine</t>
  </si>
  <si>
    <t>Méteil de céréales fourragères</t>
  </si>
  <si>
    <t>Blé fourrager selon liste swiss granum</t>
  </si>
  <si>
    <t>Maïs grain</t>
  </si>
  <si>
    <t>Riz</t>
  </si>
  <si>
    <t>Blé dur</t>
  </si>
  <si>
    <t>Amidonnier, engrain</t>
  </si>
  <si>
    <t>Blé de printemps (sans blé fourrager de la liste swiss granum)</t>
  </si>
  <si>
    <t>Blé d'automne (sans blé fourrager de la liste swiss granum)</t>
  </si>
  <si>
    <t>Seigle</t>
  </si>
  <si>
    <t>Méteil de céréales panifiables</t>
  </si>
  <si>
    <t>Epeautre</t>
  </si>
  <si>
    <t>Semences de maïs (contrat de culture)</t>
  </si>
  <si>
    <t>Riz en culture sèche</t>
  </si>
  <si>
    <t>Maïs d'ensilage et maïs vert</t>
  </si>
  <si>
    <t>Betteraves sucrières</t>
  </si>
  <si>
    <t>Betteraves fourragères</t>
  </si>
  <si>
    <t>Pommes de terre</t>
  </si>
  <si>
    <t>Plants de pommes de terre (contrat de culture)</t>
  </si>
  <si>
    <t>Colza de printemps destiné à la fabrication d’huile comestible</t>
  </si>
  <si>
    <t>Colza d’automne destiné à la fabrication d’huile comestible</t>
  </si>
  <si>
    <t>Riz en culture humide</t>
  </si>
  <si>
    <t>Tournesol destiné à la fabrication d’huile comestible</t>
  </si>
  <si>
    <t>Lin</t>
  </si>
  <si>
    <t>Chanvre</t>
  </si>
  <si>
    <t>Haricots et vesces en grains (p.ex. féveroles)</t>
  </si>
  <si>
    <t>Pois en grains (p.ex. pois protéagineux)</t>
  </si>
  <si>
    <t>Lupins</t>
  </si>
  <si>
    <t>Courges à huile</t>
  </si>
  <si>
    <t xml:space="preserve">Bohnen und Wicken zur Körnergewinnung (z.B. Ackerbohnen) </t>
  </si>
  <si>
    <t>Erbsen zur Körnergewinnung (z.B. Eiweisserbsen)</t>
  </si>
  <si>
    <t>Lupinen</t>
  </si>
  <si>
    <t>Mischungen von Bohnen, Wicken, Erbsen, Kichererbsen und Lupinen mit Getreide oder Leindotter, mindestens 30 % Anteil Leguminosen bei der Ernte (zur Körnergewinnung)</t>
  </si>
  <si>
    <t>Mischungen von Linsen mit Getreide oder Leindotter, mindestens 30 % Anteil Linsen bei der Ernte (zur Körnergewinnung)</t>
  </si>
  <si>
    <t>Nützlingsstreifen auf offener Ackerfläche</t>
  </si>
  <si>
    <t>Orzo primaverile</t>
  </si>
  <si>
    <t>Orzo autunnale</t>
  </si>
  <si>
    <t>Avena</t>
  </si>
  <si>
    <t>Miscela di cereali da foraggio</t>
  </si>
  <si>
    <t>Frumento da foraggio giusta la lista di swiss granum</t>
  </si>
  <si>
    <t>Mais da granella</t>
  </si>
  <si>
    <t>Riso</t>
  </si>
  <si>
    <t>Grano duro</t>
  </si>
  <si>
    <t>Farro, piccola spelta</t>
  </si>
  <si>
    <t>Frumento primaverile (escl. il frumento da foraggio di swiss granum)</t>
  </si>
  <si>
    <t>Frumento autunnale (escl. il frumento da foraggio di swiss granum)</t>
  </si>
  <si>
    <t>Segale</t>
  </si>
  <si>
    <t>Miscela di cereali panificabili</t>
  </si>
  <si>
    <t>Spelta</t>
  </si>
  <si>
    <t>Mais da semina (coltivazione contrattuale)</t>
  </si>
  <si>
    <t>Riso seminato su terreno asciutto</t>
  </si>
  <si>
    <t>Mais da insilamento e verde</t>
  </si>
  <si>
    <t>Barbabietole da zucchero</t>
  </si>
  <si>
    <t>Barbabietole da foraggio</t>
  </si>
  <si>
    <t>Patate</t>
  </si>
  <si>
    <t>Tuberi-seme di patate (coltivazione contrattuale)</t>
  </si>
  <si>
    <t>Colza primaverile per l’estrazione di olio commestibile</t>
  </si>
  <si>
    <t>Colza autunnale per l’estrazione di olio commestibile</t>
  </si>
  <si>
    <t>Soia</t>
  </si>
  <si>
    <t>Riso seminato su terreno bagnato</t>
  </si>
  <si>
    <t>Girasole per l’estrazione di olio commestibile</t>
  </si>
  <si>
    <t>Lino</t>
  </si>
  <si>
    <t>Canapa</t>
  </si>
  <si>
    <t>Fagioli e vecce per l’estrazione di granelli (p.es. favette)</t>
  </si>
  <si>
    <t>Piselli per l’estrazione di granelli (p.es. piselli proteici)</t>
  </si>
  <si>
    <t>Lupini</t>
  </si>
  <si>
    <t>Zucche per l’estrazione di olio</t>
  </si>
  <si>
    <t>Ceci</t>
  </si>
  <si>
    <t>Tabacco</t>
  </si>
  <si>
    <t>Miglio</t>
  </si>
  <si>
    <t>Cereali insilati</t>
  </si>
  <si>
    <t>Dorella</t>
  </si>
  <si>
    <t>Ortaggi annuali di pieno campo (esclusi quelli destinati alla conservazione)</t>
  </si>
  <si>
    <t>Ortaggi di pieno campo per la conservazione</t>
  </si>
  <si>
    <t>Radici di cicoria di coltura forzata</t>
  </si>
  <si>
    <t>Grano saraceno</t>
  </si>
  <si>
    <t>Sorgo</t>
  </si>
  <si>
    <t>Altra superficie coltiva</t>
  </si>
  <si>
    <t>Bacche annuali (p.es. fragole)</t>
  </si>
  <si>
    <t>Materie prime rinnovabili annuali (kenaf, ecc.)</t>
  </si>
  <si>
    <t>Piante aromatiche e medicinali annuali</t>
  </si>
  <si>
    <t>Floricoltura di pieno campo annuale (fiori, manto erboso in rotoli, ecc.)</t>
  </si>
  <si>
    <t>Fasce di colture estensive in campicoltura</t>
  </si>
  <si>
    <t>Maggese fioriti</t>
  </si>
  <si>
    <t>Maggese da rotazione</t>
  </si>
  <si>
    <t>Striscia su superficie coltiva</t>
  </si>
  <si>
    <t>Papavero</t>
  </si>
  <si>
    <t>Cartamo</t>
  </si>
  <si>
    <t>Lenticchie</t>
  </si>
  <si>
    <t>Miscele di fagioli, vecce, piselli, ceci e lupini con cereali o camelina sativa, almeno il 30% di quota di leguminose nel raccolto (per l’estrazione di granelli)</t>
  </si>
  <si>
    <t>Miscele di lenticchie con cereali o camelina sativa, almeno il 30% di quota di lenticchie nel raccolto (per l’estrazione di granelli)</t>
  </si>
  <si>
    <t>Strisce per organismi utili sulla superficie coltiva aperta</t>
  </si>
  <si>
    <t>Senape</t>
  </si>
  <si>
    <t>Canapa per i semi</t>
  </si>
  <si>
    <t>Canapa da fibra</t>
  </si>
  <si>
    <t>Altra canapa</t>
  </si>
  <si>
    <t>Miglio per l’estrazione di gra-nelli</t>
  </si>
  <si>
    <t>Miglio per la raccolta della pianta intera</t>
  </si>
  <si>
    <t>Sorgo per l’estrazione di gra-nelli</t>
  </si>
  <si>
    <t>Sorgo per la raccolta della pianta intera</t>
  </si>
  <si>
    <t>Colza primaverile quale materia prima rinnovabile</t>
  </si>
  <si>
    <t>Colza autunnale quale materia prima rinnovabile</t>
  </si>
  <si>
    <t>Girasole quale materia prima rinnovabile</t>
  </si>
  <si>
    <t>Superficie coltiva aperta, avente diritto ai contributi (superfici per la promozione della biodiversità specifiche di una regione)</t>
  </si>
  <si>
    <t>Altra superficie coltiva aperta, non avente diritto ai contributi (superfici per la promozione della biodiversità specifiche di una regione)</t>
  </si>
  <si>
    <t>Altra superficie coltiva aperta, con contributi</t>
  </si>
  <si>
    <t>Altra superficie coltiva aperta, senza contributi</t>
  </si>
  <si>
    <t>Crop_EN</t>
  </si>
  <si>
    <t>Spring barley</t>
  </si>
  <si>
    <t>Oats</t>
  </si>
  <si>
    <t>Mixed fodder cereals</t>
  </si>
  <si>
    <t>Fodder wheat according to Swiss Granum list</t>
  </si>
  <si>
    <t>Grain maize</t>
  </si>
  <si>
    <t>Spring wheat (excluding Swiss Granum fodder wheat)</t>
  </si>
  <si>
    <t>Winter wheat (excluding Swiss Granum fodder wheat)</t>
  </si>
  <si>
    <t>Mixed bread cereals</t>
  </si>
  <si>
    <t>Seed maize (contract farming)</t>
  </si>
  <si>
    <t>Dryland rice</t>
  </si>
  <si>
    <t>Silage and green maize</t>
  </si>
  <si>
    <t>Fodder beets</t>
  </si>
  <si>
    <t>Seed potatoes (contract farming)</t>
  </si>
  <si>
    <t>Spring rapeseed for edible oil</t>
  </si>
  <si>
    <t>Winter rapeseed for edible oil</t>
  </si>
  <si>
    <t>Soybean</t>
  </si>
  <si>
    <t>Wetland rice</t>
  </si>
  <si>
    <t>Sunflower for edible oil</t>
  </si>
  <si>
    <t>Flax</t>
  </si>
  <si>
    <t>Beans and vetches for grain production (e.g., field beans)</t>
  </si>
  <si>
    <t>Peas for grain production (e.g., protein peas)</t>
  </si>
  <si>
    <t>Oil pumpkins</t>
  </si>
  <si>
    <t>Ensiled cereals</t>
  </si>
  <si>
    <t>Camelina</t>
  </si>
  <si>
    <t>Annual open-field vegetables, excluding preserved vegetables</t>
  </si>
  <si>
    <t>Open-field vegetables for preservation</t>
  </si>
  <si>
    <t>Roots of forced chicory</t>
  </si>
  <si>
    <t>Other arable land</t>
  </si>
  <si>
    <t>Annual renewable raw materials (Kenaf, etc.)</t>
  </si>
  <si>
    <t>Annual open-field horticultural crops (flowers, turf, etc.)</t>
  </si>
  <si>
    <t>Flowering fallow</t>
  </si>
  <si>
    <t>Rotational fallow</t>
  </si>
  <si>
    <t>Safflower</t>
  </si>
  <si>
    <t>Mixtures of beans, vetch, peas, chickpeas, and lupins with cereals or camelina, minimum 30% legumes at harvest (for grain)</t>
  </si>
  <si>
    <t>Mixtures of lentils with cereals or camelina, minimum 30% lentils at harvest (for grain)</t>
  </si>
  <si>
    <t>Hemp for seed use</t>
  </si>
  <si>
    <t>Hemp for fiber use</t>
  </si>
  <si>
    <t>Other hemp</t>
  </si>
  <si>
    <t>Millet for grain</t>
  </si>
  <si>
    <t>Millet for whole-plant use</t>
  </si>
  <si>
    <t>Sorghum for grain</t>
  </si>
  <si>
    <t>Sorghum for whole-plant use</t>
  </si>
  <si>
    <t>Spring rapeseed as renewable raw material</t>
  </si>
  <si>
    <t>Winter rapeseed as renewable raw material</t>
  </si>
  <si>
    <t>Sunflower as renewable raw material</t>
  </si>
  <si>
    <t>Eligible open arable land (region-specific biodiversity promotion)</t>
  </si>
  <si>
    <t>Exclude</t>
  </si>
  <si>
    <t>Übrige Dauerwiesen, beitragsberechtigt aggregiert</t>
  </si>
  <si>
    <t>Altra superficie inerbita, con contributi, aggregata</t>
  </si>
  <si>
    <t>Uferwiesen (ohne Weiden)</t>
  </si>
  <si>
    <t>Prati artificiali (senza pascoli)</t>
  </si>
  <si>
    <t>Altri prati artificiali avente diritto ai contributi (p.es. pascoli riservati ai suini e al pollame)</t>
  </si>
  <si>
    <t>Prati estensivi (senza pascoli)</t>
  </si>
  <si>
    <t>Prati poco intensivi (senza pascoli)</t>
  </si>
  <si>
    <t>Altri prati perenni (senza pascoli)</t>
  </si>
  <si>
    <t>Pascoli (pascoli propri, altri pascoli senza pascoli d’estivazione)</t>
  </si>
  <si>
    <t>Pascoli estensivi</t>
  </si>
  <si>
    <t>Pascoli boschivi (senza i boschi)</t>
  </si>
  <si>
    <t>Prati da sfalcio nella regione d’estivazione, altri prati</t>
  </si>
  <si>
    <t>Prati da sfalcio nella regione d’estivazione, tipo prati sfruttati in modo estensivo</t>
  </si>
  <si>
    <t>Prati da sfalcio nella regione d’estivazione, tipo prati sfruttati in modo poco intensivo</t>
  </si>
  <si>
    <t>Leguminose da foraggio per la produzione di sementi (coltivazione contrattuale)</t>
  </si>
  <si>
    <t>Graminacee da foraggio per la produzione di sementi (coltivazione contrattuale)</t>
  </si>
  <si>
    <t>Prati rivieraschi lungo i corsi d'acqua (senza pascoli)</t>
  </si>
  <si>
    <t>Prati rivieraschi (senza pascoli)</t>
  </si>
  <si>
    <t>Altri pascoli perenni, con contributi, aggregata</t>
  </si>
  <si>
    <t>Superfici per la promozione della biodiversità specifiche di una regione (pascoli)</t>
  </si>
  <si>
    <t>Superfici per la promozione della biodiversità specifiche di una regione (superfici inerbite, senza pascoli)</t>
  </si>
  <si>
    <t>Altre superfici (permanentemente) inerbite, con contributi</t>
  </si>
  <si>
    <t>Altre superfici (permanentemente) inerbite, senza contributi</t>
  </si>
  <si>
    <t>Artificial grasslands (excluding pastures)</t>
  </si>
  <si>
    <t>Other artificial grasslands, eligible for contributions (e.g. pig and poultry pastures)</t>
  </si>
  <si>
    <t>Extensively managed meadows (excluding pastures)</t>
  </si>
  <si>
    <t>Low-intensity managed meadows (excluding pastures)</t>
  </si>
  <si>
    <t>Other permanent meadows (excluding pastures)</t>
  </si>
  <si>
    <t>Pastures (farm pastures, other pastures excluding summer pastures)</t>
  </si>
  <si>
    <t>Extensively managed pastures</t>
  </si>
  <si>
    <t>Wooded pastures (excluding forested area)</t>
  </si>
  <si>
    <t>Hay meadows in summer-grazing regions, other meadows</t>
  </si>
  <si>
    <t>Hay meadows in summer-grazing regions, extensively managed type</t>
  </si>
  <si>
    <t>Hay meadows in summer-grazing regions, low-intensity managed type</t>
  </si>
  <si>
    <t>Forage legumes for seed production (contract farming)</t>
  </si>
  <si>
    <t>Forage grasses for seed production (contract farming)</t>
  </si>
  <si>
    <t>Riparian meadows along flowing waters (excluding pastures)</t>
  </si>
  <si>
    <t>Riparian meadows (excluding pastures)</t>
  </si>
  <si>
    <t>Other permanent meadows, eligible for contributions (aggregated)</t>
  </si>
  <si>
    <t>Other permanent pastures, eligible for contributions (aggregated)</t>
  </si>
  <si>
    <t>Region-specific biodiversity promotion areas (pastures)</t>
  </si>
  <si>
    <t>Region-specific biodiversity promotion areas (grasslands excluding pastures)</t>
  </si>
  <si>
    <t>Other grassland (permanent grassland), eligible for contributions</t>
  </si>
  <si>
    <t>Other grassland (permanent grassland), not eligible for contributions</t>
  </si>
  <si>
    <t>Gepflegte Selven (Edelkastanienbäume)</t>
  </si>
  <si>
    <t>Baumschulen von Obst und Beeren</t>
  </si>
  <si>
    <t>Dauerkulturen, nicht beitragsberechtigt, aggregiert</t>
  </si>
  <si>
    <t>Vignes</t>
  </si>
  <si>
    <t>Vigna</t>
  </si>
  <si>
    <t>Cultures fruitières (pommes)</t>
  </si>
  <si>
    <t>Frutteto (mele)</t>
  </si>
  <si>
    <t>Cultures fruitières (poires)</t>
  </si>
  <si>
    <t>Frutteto (pere)</t>
  </si>
  <si>
    <t>Cultures fruitières (fruits à noyau)</t>
  </si>
  <si>
    <t>Frutteto (frutta a nocciolo)</t>
  </si>
  <si>
    <t>Baies pluriannuelles</t>
  </si>
  <si>
    <t>Bacche pluriennali</t>
  </si>
  <si>
    <t>Plantes aromatiques et plantes médicinales pluriannuelles</t>
  </si>
  <si>
    <t>Piante aromatiche e medicinali pluriennali</t>
  </si>
  <si>
    <t>Matières premières renouvelables pluriannuelles (roseau de Chine, etc.)</t>
  </si>
  <si>
    <t>Materie prime rinnovabili pluriennali (Miscanthus sin. ecc.)</t>
  </si>
  <si>
    <t>Houblon</t>
  </si>
  <si>
    <t>Luppolo</t>
  </si>
  <si>
    <t>Rhubarbe</t>
  </si>
  <si>
    <t>Rabarbaro</t>
  </si>
  <si>
    <t>Asperges</t>
  </si>
  <si>
    <t>Asparagi</t>
  </si>
  <si>
    <t>Champignons en pleine terre</t>
  </si>
  <si>
    <t>Funghi (in pieno campo)</t>
  </si>
  <si>
    <t>Sapins de Noël</t>
  </si>
  <si>
    <t>Alberelli di Natale</t>
  </si>
  <si>
    <t>Pépinières de plantes forestières hors zone forestière</t>
  </si>
  <si>
    <t>Vivai forestali fuori delle zone forestali</t>
  </si>
  <si>
    <t>Buissons, arbrisseaux et arbustes ornementaux</t>
  </si>
  <si>
    <t>Arbusti, arboscelli, cespugli ornamentali</t>
  </si>
  <si>
    <t>Autres pépinières (roses, fruits, etc.)</t>
  </si>
  <si>
    <t>Altri vivai (rose, frutta, ecc.)</t>
  </si>
  <si>
    <t>Surfaces viticoles présentant une biodiversité naturelle</t>
  </si>
  <si>
    <t>Vigneti con biodiversità naturale</t>
  </si>
  <si>
    <t>Truffières</t>
  </si>
  <si>
    <t>Tartufaie</t>
  </si>
  <si>
    <t>Cultures de mûriers (alimentation des vers à soie)</t>
  </si>
  <si>
    <t>Coltivazioni di gelsi (foraggiamento dei bachi da seta)</t>
  </si>
  <si>
    <t>Châtaigneraies entretenues (surface)</t>
  </si>
  <si>
    <t>Selve curate (castagni)</t>
  </si>
  <si>
    <t>Cultures horticoles pluriannuelles de plein air (pas en serres)</t>
  </si>
  <si>
    <t>Floricoltura di pieno campo pluriennale (non in serra)</t>
  </si>
  <si>
    <t>Pépinières viticoles</t>
  </si>
  <si>
    <t>Vivai viticoli</t>
  </si>
  <si>
    <t>Pépinière de fruits et de baies</t>
  </si>
  <si>
    <t>Vivaio di alberi da frutto e bacche</t>
  </si>
  <si>
    <t>Autres pépinières (rosiers, plantes ornementales, etc.)</t>
  </si>
  <si>
    <t>Altri vivai (rose, arbusti ornamentali, ecc.)</t>
  </si>
  <si>
    <t>Permacultura</t>
  </si>
  <si>
    <t>Cultures fruitières agrégée</t>
  </si>
  <si>
    <t>Frutteti aggregata</t>
  </si>
  <si>
    <t>Autres cultures fruitières (kiwis, sureau, etc.)</t>
  </si>
  <si>
    <t>Altri frutteti (kiwi, sambuco, ecc.)</t>
  </si>
  <si>
    <t>Vignes (surfaces de promotion de la biodiversité spécifiques à la ré-gion)</t>
  </si>
  <si>
    <t>Vigna (superfici per la promozione della biodiversità specifiche di una regione)</t>
  </si>
  <si>
    <t>Autres surfaces de cultures pérennes, avec contributions, agrégée</t>
  </si>
  <si>
    <t>Altre colture perenni, con contributi, aggregata</t>
  </si>
  <si>
    <t>Surfaces de cultures pérennes, sans contributions, agrégée</t>
  </si>
  <si>
    <t>Colture perenni, senza contributi, aggregata</t>
  </si>
  <si>
    <t>Autres surfaces de cultures pérennes, avec contributions</t>
  </si>
  <si>
    <t>Altre superfici con colture perenni, con contributi</t>
  </si>
  <si>
    <t>Autres surfaces de cultures pérennes, sans contributions</t>
  </si>
  <si>
    <t>Altre superfici con colture perenni, senza contributi</t>
  </si>
  <si>
    <t>Vineyards</t>
  </si>
  <si>
    <t>Fruit orchards (apples)</t>
  </si>
  <si>
    <t>Fruit orchards (pears)</t>
  </si>
  <si>
    <t>Fruit orchards (stone fruits)</t>
  </si>
  <si>
    <t>Perennial renewable raw materials (e.g. miscanthus)</t>
  </si>
  <si>
    <t>Rhubarb</t>
  </si>
  <si>
    <t>Mushrooms (open field)</t>
  </si>
  <si>
    <t>Forest plant nurseries outside forest zones</t>
  </si>
  <si>
    <t>Ornamental shrubs, woody ornamentals and perennials</t>
  </si>
  <si>
    <t>Other nurseries (roses, fruit trees, etc.)</t>
  </si>
  <si>
    <t>Vineyard areas with natural biodiversity</t>
  </si>
  <si>
    <t>Truffle plantations</t>
  </si>
  <si>
    <t>Mulberry plantations (feeding silkworms)</t>
  </si>
  <si>
    <t>Managed chestnut groves</t>
  </si>
  <si>
    <t>Perennial open-field horticultural crops (not in greenhouses)</t>
  </si>
  <si>
    <t>Vine nurseries</t>
  </si>
  <si>
    <t>Fruit and berry tree nurseries</t>
  </si>
  <si>
    <t>Other nurseries (roses, ornamental shrubs, etc.)</t>
  </si>
  <si>
    <t>Fruit orchards, aggregated</t>
  </si>
  <si>
    <t>Other fruit orchards (kiwi, elderberry, etc.)</t>
  </si>
  <si>
    <t>Vineyards (region-specific biodiversity promotion areas)</t>
  </si>
  <si>
    <t>Other perennial crops, eligible for contributions (aggregated)</t>
  </si>
  <si>
    <t>Perennial crops, not eligible for contributions (aggregated)</t>
  </si>
  <si>
    <t>Other areas with perennial crops, eligible for contributions</t>
  </si>
  <si>
    <t>Other areas with perennial crops, not eligible for contributions</t>
  </si>
  <si>
    <t>Gemüsekulturen in geschütztem Anbau ohne festes Fundament; im gewachsenen Boden</t>
  </si>
  <si>
    <t>Gemüsekulturen in geschütztem Anbau ohne festes Fundament; auf Pflanztischen oder -gestellen</t>
  </si>
  <si>
    <t>Beerenkulturen in geschütztem Anbau ohne festes Fundament; im gewachsenen Boden</t>
  </si>
  <si>
    <t>Beerenkulturen in geschütztem Anbau ohne festes Fundament; auf Pflanztischen oder -gestellen</t>
  </si>
  <si>
    <t>Kulturen in ganzjährig geschütztem Anbau, nicht beitragsberechtigt aggregiert</t>
  </si>
  <si>
    <t>Streueflächen in der landwirtschaftlichen Nutzfläche</t>
  </si>
  <si>
    <t>Übrige Flächen innerhalb der landwirtschaftlichen Nutzfläche, beitragsberechtigt</t>
  </si>
  <si>
    <t>Übrige Flächen innerhalb der landwirtschaftlichen Nutzfläche, nicht beitragsberechtigt</t>
  </si>
  <si>
    <t>Cultures maraîchères sous abri avec fondations permanentes</t>
  </si>
  <si>
    <t>Colture orticole in serre con fondamenta fisse</t>
  </si>
  <si>
    <t>Autres cultures spéciales sous abri avec fondations permanentes</t>
  </si>
  <si>
    <t>Altre colture speciali in serre con fondamenta fisse</t>
  </si>
  <si>
    <t>Cultures horticoles sous abri avec fondations permanentes</t>
  </si>
  <si>
    <t>Floricoltura in serre con fondamenta fisse</t>
  </si>
  <si>
    <t>Cultures des baies sous serres avec fondations permanentes</t>
  </si>
  <si>
    <t>Colture bacche in serra con fondamenta fisse</t>
  </si>
  <si>
    <t>Cultures maraîchères sous abri sans fondations permanentes</t>
  </si>
  <si>
    <t>Colture orticole in serre senza fondamenta fisse</t>
  </si>
  <si>
    <t>Autres cultures spéciales sous abri sans fondations permanentes</t>
  </si>
  <si>
    <t>Altre colture speciali in serre senza fondamenta fisse</t>
  </si>
  <si>
    <t>Cultures horticoles sous abri sans fondations permanentes</t>
  </si>
  <si>
    <t>Floricoltura in serre senza fondamenta fisse</t>
  </si>
  <si>
    <t>Champignons sous abri avec fondations permanentes</t>
  </si>
  <si>
    <t>Funghi coltivati al coperto con fondamenta fisse</t>
  </si>
  <si>
    <t>Cultures maraîchères sous abri sans fondations permanentes; sur sol naturel</t>
  </si>
  <si>
    <t>Colture orticole coltivate al coperto senza fondamenta fisse; nel terreno naturale</t>
  </si>
  <si>
    <t>Cultures maraîchères sous abri sans fondations permanentes; sur des tables de plantation ou des étagères</t>
  </si>
  <si>
    <t>Colture orticole coltivate al coperto senza fondamenta fisse; su tavole di piantagione o rastrelliere</t>
  </si>
  <si>
    <t>Cultures des baies sous abri sans fondations permanentes; sur sol naturel</t>
  </si>
  <si>
    <t>Colture di bacche coltivate al coperto senza fondamenta fisse; nel terreno naturale</t>
  </si>
  <si>
    <t>Cultures des baies sous abri sans fondations permanentes; sur des tables de plantation ou  des étagères</t>
  </si>
  <si>
    <t>Colture di bacche coltivate al coperto senza fondamenta fisse; su tavole di piantagione o rastrelliere</t>
  </si>
  <si>
    <t>Cultures sous abri sans fondations permanentes, avec contributions, agrégée</t>
  </si>
  <si>
    <t>Superfici con colture protette tutto l’anno, con contributi, aggregata</t>
  </si>
  <si>
    <t>Cultures sous abri sans fondations permanentes, sans contributions, agrégée</t>
  </si>
  <si>
    <t>Superfici con colture protette tutto l’anno, senza contributi, aggregata</t>
  </si>
  <si>
    <t>Autres cultures sous abri sans fondations permanentes, avec contributions</t>
  </si>
  <si>
    <t>Altre colture coltivate al coperto senza fondamenta fisse, con contributi</t>
  </si>
  <si>
    <t>Autres cultures sous abri avec fondations permanentes</t>
  </si>
  <si>
    <t>Altre colture coltivate al coperto con fondamenta fisse</t>
  </si>
  <si>
    <t>Autres cultures sous abri sans fondations permanentes, sans contributions</t>
  </si>
  <si>
    <t>Altre colture coltivate al coperto senza fondamenta fisse, senza contributi</t>
  </si>
  <si>
    <t>Surfaces à litière dans la surface agricole utile</t>
  </si>
  <si>
    <t>Terreni da strame all’interno della superficie agricola utilizzata</t>
  </si>
  <si>
    <t>Haies, bosquets champêtres et berges boisées (avec la bande herbeuse)</t>
  </si>
  <si>
    <t>Siepi, boschetti campestri e rivieraschi (con bordo inerbito)</t>
  </si>
  <si>
    <t>Siepi, boschetti campestri e rivieraschi (con fascia tampone)</t>
  </si>
  <si>
    <t>Haies, bosquets champêtres et berges boisées (avec la bande tampon) (Surfaces de promotion de la biodiversité spécifiques à la région)</t>
  </si>
  <si>
    <t>Siepi, boschetti campestri e rivieraschi (con fascia tampone) (Superfici per la promozione della biodiversità specifiche di una regione)</t>
  </si>
  <si>
    <t>Autres surfaces dans la surface agricole utile, avec contributions</t>
  </si>
  <si>
    <t>Altre superfici all’interno della superficie agricola utilizzata, con contributi</t>
  </si>
  <si>
    <t>Autres surfaces dans la surface agricole utile, sans contributions</t>
  </si>
  <si>
    <t>Altre superfici all’interno della superficie agricola utilizzata, senza contributi</t>
  </si>
  <si>
    <t>Vegetable crops in greenhouses with permanent foundations</t>
  </si>
  <si>
    <t>Other special crops in greenhouses with permanent foundations</t>
  </si>
  <si>
    <t>Horticultural crops in greenhouses with permanent foundations</t>
  </si>
  <si>
    <t>Berry crops in greenhouses with permanent foundations</t>
  </si>
  <si>
    <t>Vegetable crops in protected cultivation without permanent foundations</t>
  </si>
  <si>
    <t>Other special crops in protected cultivation without permanent foundations</t>
  </si>
  <si>
    <t>Horticultural crops in protected cultivation without permanent foundations</t>
  </si>
  <si>
    <t>Mushrooms in protected cultivation with permanent foundations</t>
  </si>
  <si>
    <t>Vegetable crops in protected cultivation without permanent foundations, in natural soil</t>
  </si>
  <si>
    <t>Vegetable crops in protected cultivation without permanent foundations, on planting tables or racks</t>
  </si>
  <si>
    <t>Berry crops in protected cultivation without permanent foundations, in natural soil</t>
  </si>
  <si>
    <t>Berry crops in protected cultivation without permanent foundations, on planting tables or racks</t>
  </si>
  <si>
    <t>Crops in year-round protected cultivation, eligible for contributions (aggregated)</t>
  </si>
  <si>
    <t>Crops in year-round protected cultivation, not eligible for contributions (aggregated)</t>
  </si>
  <si>
    <t>Other crops in protected cultivation without permanent foundations, eligible for contributions</t>
  </si>
  <si>
    <t>Other crops in protected cultivation with permanent foundations</t>
  </si>
  <si>
    <t>Other crops in protected cultivation without permanent foundations, not eligible for contributions</t>
  </si>
  <si>
    <t>Litter areas within agricultural land</t>
  </si>
  <si>
    <t>Hedges, field and riparian woody vegetation (with herbaceous margin)</t>
  </si>
  <si>
    <t>Hedges, field and riparian woody vegetation (with buffer strip)</t>
  </si>
  <si>
    <t>Hedges, field and riparian woody vegetation (with buffer strip, region-specific biodiversity promotion area)</t>
  </si>
  <si>
    <t>Other areas within agricultural land, eligible for contributions</t>
  </si>
  <si>
    <t>Other areas within agricultural land, not eligible for contributions</t>
  </si>
  <si>
    <t>Hochstamm-Feldobstbäume (Punkte oder Flächen)</t>
  </si>
  <si>
    <t>Nussbäume (Punkte oder Flächen)</t>
  </si>
  <si>
    <t>Edelkastanienbäume</t>
  </si>
  <si>
    <t>Einheimische standortgerechte Einzelbäume und Alleen (Punkte oder Flächen)</t>
  </si>
  <si>
    <t>Andere Bäume</t>
  </si>
  <si>
    <t>Andere Bäume (regionsspezifische Biodiversitätsförderfläche)</t>
  </si>
  <si>
    <t>Andere Elemente (regionsspezifische Biodiversitätsförderfläche)</t>
  </si>
  <si>
    <t>Getreide in weiter Reihe</t>
  </si>
  <si>
    <t>Übrige Flächen ausserhalb der landwirtschaftlichen Nutzfläche und Sömmerungsfläche</t>
  </si>
  <si>
    <t>Forêt</t>
  </si>
  <si>
    <t>Bosco</t>
  </si>
  <si>
    <t>Surfaces improductives (p. ex. haies sans les bandes tampons, surfaces broyées, surfaces avec un degré élevé de mauvaises herbes)</t>
  </si>
  <si>
    <t>Altre superfici improduttive (p.es. siepi senza fascia tampone, superfici pacciamate, superfici con elevata presenza di malerbe)</t>
  </si>
  <si>
    <t>Surfaces dont l’affectation principale n’est pas l’exploitation agricole (terrains à bâtir équipés et surfaces comprises dans les terrains de golf et de camping, aérodromes et terrains d’entraînement militaire, surfaces délimitées des bas-côtés des lignes de chemins de fer, de routes publiques, de cours et de plans d’eau)</t>
  </si>
  <si>
    <t>Superfici la cui destinazione principale non è l’utilizzazione agricola (quelle inserite in terreni edificabili urbanizzati, da golf, da equitazione, da campeggio, di aerodromi e d’esercitazione militare o che rientrano nella zona delimitata di ferrovie, strade pubbliche e corsi d’acqua)</t>
  </si>
  <si>
    <t>Fossés humides, mares, étangs</t>
  </si>
  <si>
    <t>Fossati umidi, stagni, pozze</t>
  </si>
  <si>
    <t>Surfaces rudérales, tas d'épierrage et affleurements rocheux</t>
  </si>
  <si>
    <t>Superfici ruderali, cumuli di pietra, affioramenti rocciosi</t>
  </si>
  <si>
    <t>Murs de pierres sèches</t>
  </si>
  <si>
    <t>Muri a secco</t>
  </si>
  <si>
    <t>Chemins naturels non stabilisés</t>
  </si>
  <si>
    <t>Sentieri e accessi naturali non consolidati</t>
  </si>
  <si>
    <t>Surfaces de promotion de la biodiversité spécifiques à la région</t>
  </si>
  <si>
    <t>Superfici per la promozione della biodiversità specifiche di una regione</t>
  </si>
  <si>
    <t>Jardins potager</t>
  </si>
  <si>
    <t>Giardini e orti domestici</t>
  </si>
  <si>
    <t>Production agricole sous abri (par ex. champignons de Paris, chicorée witloof)</t>
  </si>
  <si>
    <t>Produzione agricola in edifici (p.es. funghi, cicoria belga)</t>
  </si>
  <si>
    <t>Arbres fruitiers champêtres haute-tige (points ou surface)</t>
  </si>
  <si>
    <t>Alberi da frutto ad alto fusto nei campi (punti o superfici)</t>
  </si>
  <si>
    <t>Noyers (points ou surfaces)</t>
  </si>
  <si>
    <t>Noci (Punti o superfici)</t>
  </si>
  <si>
    <t>Châtaigniers</t>
  </si>
  <si>
    <t>Alberi castagni</t>
  </si>
  <si>
    <t>Arbres isolés indigènes adaptés au site et allées d'arbres (points ou surfaces)</t>
  </si>
  <si>
    <t>Alberi indigeni isolati adatti al luogo e viali alberati (Punti o superfici)</t>
  </si>
  <si>
    <t>Autres arbres</t>
  </si>
  <si>
    <t>Altri alberi</t>
  </si>
  <si>
    <t>Autres arbres (surfaces de promotion de la biodiversité spécifiques à la région)</t>
  </si>
  <si>
    <t>Altri alberi (superfici per la promozione della biodiversità specifiche di una regione)</t>
  </si>
  <si>
    <t>Autres éléments (surfaces de promotion de la biodiversité spécifiques à la région)</t>
  </si>
  <si>
    <t>Altri elementi (superficie per la promozione della biodiversità specifica di una regione)</t>
  </si>
  <si>
    <t>Pâturages d’estivage</t>
  </si>
  <si>
    <t>Pascoli d’estivazione</t>
  </si>
  <si>
    <t>Pâturages communautaires</t>
  </si>
  <si>
    <t>Pascoli comunitari</t>
  </si>
  <si>
    <t>Prairies de fauche en région d’estivage, pour l'affouragement pendant l'estivage</t>
  </si>
  <si>
    <t>Prati da sfalcio nella regione d’estivazione, per l'alimentazione durante l'estivazione</t>
  </si>
  <si>
    <t>Surfaces à litière, région d’estivage</t>
  </si>
  <si>
    <t>Terreni da strame nella regione d’estivazione</t>
  </si>
  <si>
    <t>Céréales en lignes de semis espacées</t>
  </si>
  <si>
    <t>Cereali in file distanziate</t>
  </si>
  <si>
    <t>Autres surfaces situées en dehors de la surface agricole utile et la surface d’estivage</t>
  </si>
  <si>
    <t>Altre superfici fuori della superficie agricola utilizzata e superfici d’estivazione</t>
  </si>
  <si>
    <t>Other unproductive areas (e.g. mulched areas, heavily weed-infested areas, hedges without buffer strips)</t>
  </si>
  <si>
    <t>Areas without a primary agricultural purpose (developed building land, sports, riding, camping, golf, airfields and military areas, or demarcated areas of railways, public roads and water bodies)</t>
  </si>
  <si>
    <t>Water ditches, ponds and pools</t>
  </si>
  <si>
    <t>Ruderal areas, stone heaps and stone walls</t>
  </si>
  <si>
    <t>Dry stone walls</t>
  </si>
  <si>
    <t>Unpaved natural paths</t>
  </si>
  <si>
    <t>Home gardens</t>
  </si>
  <si>
    <t>Agricultural production in buildings (e.g. mushrooms, witloof chicory)</t>
  </si>
  <si>
    <t>High-stem field fruit trees (points or areas)</t>
  </si>
  <si>
    <t>Nut trees (points or areas)</t>
  </si>
  <si>
    <t>Sweet chestnut trees</t>
  </si>
  <si>
    <t>Native site-adapted individual trees and tree avenues (points or areas)</t>
  </si>
  <si>
    <t>Other trees</t>
  </si>
  <si>
    <t>Other trees (region-specific biodiversity promotion area)</t>
  </si>
  <si>
    <t>Other elements (region-specific biodiversity promotion area)</t>
  </si>
  <si>
    <t>Summer grazing pastures</t>
  </si>
  <si>
    <t>Communal pastures</t>
  </si>
  <si>
    <t>Hay meadows with supplementary feeding during summer grazing</t>
  </si>
  <si>
    <t>Litter areas in summer-grazing regions</t>
  </si>
  <si>
    <t>Arable field margin strips</t>
  </si>
  <si>
    <t>Cereals in wide rows</t>
  </si>
  <si>
    <t>Other areas outside agricultural land and summer-grazing areas</t>
  </si>
  <si>
    <t>Valid_from</t>
  </si>
  <si>
    <t>Valid_until</t>
  </si>
  <si>
    <t>Overlapping</t>
  </si>
  <si>
    <t>Special_culture</t>
  </si>
  <si>
    <t>Fels (swissTLM3D)</t>
  </si>
  <si>
    <t>Fels locker (swissTLM3D)</t>
  </si>
  <si>
    <t>Felsbloecke (swissTLM3D)</t>
  </si>
  <si>
    <t>Felsbloecke locker (swissTLM3D)</t>
  </si>
  <si>
    <t>Lockergestein (swissTLM3D)</t>
  </si>
  <si>
    <t>Lockergestein locker (swissTLM3D)</t>
  </si>
  <si>
    <t>Gletscher (swissTLM3D)</t>
  </si>
  <si>
    <t>Schneefeld Toteis (swissTLM3D)</t>
  </si>
  <si>
    <t>Stehende Gewaesser (swissTLM3D)</t>
  </si>
  <si>
    <t>Fliessgewaesser (swissTLM3D)</t>
  </si>
  <si>
    <t>Feuchtgebiet (swissTLM3D)</t>
  </si>
  <si>
    <t>Gehölzflaeche (swissTLM3D)</t>
  </si>
  <si>
    <t>Gebüschwald (swissTLM3D)</t>
  </si>
  <si>
    <t>Wald offen (swissTLM3D)</t>
  </si>
  <si>
    <t>Wald (swissTLM3D)</t>
  </si>
  <si>
    <t>Strassen (swissTLM3D)</t>
  </si>
  <si>
    <t>Eisenbahn (swissTLM3D)</t>
  </si>
  <si>
    <t>Gebäude (swissTLM3D)</t>
  </si>
  <si>
    <t>Sportplatz (swissTLM3D)</t>
  </si>
  <si>
    <t>Staubaute (swissTLM3D)</t>
  </si>
  <si>
    <t>Verkehrsbaute (swissTLM3D)</t>
  </si>
  <si>
    <t>Nutzungsareale (swissTLM3D)</t>
  </si>
  <si>
    <t>Abbauareale (swissTLM3D)</t>
  </si>
  <si>
    <t>Schrebergartenareale (swissTLM3D)</t>
  </si>
  <si>
    <t>Verkehrsareale (swissTLM3D)</t>
  </si>
  <si>
    <t>Rock (swissTLM3D)</t>
  </si>
  <si>
    <t>Roche (swissTLM3D)</t>
  </si>
  <si>
    <t>Roccia (swissTLM3D)</t>
  </si>
  <si>
    <t>Loose rock (swissTLM3D)</t>
  </si>
  <si>
    <t>Roche meuble (swissTLM3D)</t>
  </si>
  <si>
    <t>Roccia sciolta (swissTLM3D)</t>
  </si>
  <si>
    <t>Boulders (swissTLM3D)</t>
  </si>
  <si>
    <t>Blocs rocheux (swissTLM3D)</t>
  </si>
  <si>
    <t>Massi (swissTLM3D)</t>
  </si>
  <si>
    <t>Loose boulders (swissTLM3D)</t>
  </si>
  <si>
    <t>Blocs rocheux meubles (swissTLM3D)</t>
  </si>
  <si>
    <t>Massi sciolti (swissTLM3D)</t>
  </si>
  <si>
    <t>Unconsolidated sediment (swissTLM3D)</t>
  </si>
  <si>
    <t>Sédiment meuble (swissTLM3D)</t>
  </si>
  <si>
    <t>Sedimento sciolto (swissTLM3D)</t>
  </si>
  <si>
    <t>Loose unconsolidated sediment (swissTLM3D)</t>
  </si>
  <si>
    <t>Sédiment meuble meuble (swissTLM3D)</t>
  </si>
  <si>
    <t>Sedimento sciolto sciolto (swissTLM3D)</t>
  </si>
  <si>
    <t>Glacier (swissTLM3D)</t>
  </si>
  <si>
    <t>Ghiacciaio (swissTLM3D)</t>
  </si>
  <si>
    <t>Snowfield / dead ice (swissTLM3D)</t>
  </si>
  <si>
    <t>Champ de neige / glace morte (swissTLM3D)</t>
  </si>
  <si>
    <t>Campo di neve / ghiaccio morto (swissTLM3D)</t>
  </si>
  <si>
    <t>Standing water (swissTLM3D)</t>
  </si>
  <si>
    <t>Eaux stagnantes (swissTLM3D)</t>
  </si>
  <si>
    <t>Acque stagnanti (swissTLM3D)</t>
  </si>
  <si>
    <t>Flowing water (swissTLM3D)</t>
  </si>
  <si>
    <t>Eaux courantes (swissTLM3D)</t>
  </si>
  <si>
    <t>Acque correnti (swissTLM3D)</t>
  </si>
  <si>
    <t>Wetland (swissTLM3D)</t>
  </si>
  <si>
    <t>Zone humide (swissTLM3D)</t>
  </si>
  <si>
    <t>Zona umida (swissTLM3D)</t>
  </si>
  <si>
    <t>Woodland (swissTLM3D)</t>
  </si>
  <si>
    <t>Boisement (swissTLM3D)</t>
  </si>
  <si>
    <t>Boschetto (swissTLM3D)</t>
  </si>
  <si>
    <t>Shrub forest (swissTLM3D)</t>
  </si>
  <si>
    <t>Forêt de broussailles (swissTLM3D)</t>
  </si>
  <si>
    <t>Bosco di cespugli (swissTLM3D)</t>
  </si>
  <si>
    <t>Open forest (swissTLM3D)</t>
  </si>
  <si>
    <t>Forêt ouverte (swissTLM3D)</t>
  </si>
  <si>
    <t>Bosco aperto (swissTLM3D)</t>
  </si>
  <si>
    <t>Forest (swissTLM3D)</t>
  </si>
  <si>
    <t>Forêt (swissTLM3D)</t>
  </si>
  <si>
    <t>Foresta (swissTLM3D)</t>
  </si>
  <si>
    <t>Roads (swissTLM3D)</t>
  </si>
  <si>
    <t>Routes (swissTLM3D)</t>
  </si>
  <si>
    <t>Strade (swissTLM3D)</t>
  </si>
  <si>
    <t>Railway (swissTLM3D)</t>
  </si>
  <si>
    <t>Chemin de fer (swissTLM3D)</t>
  </si>
  <si>
    <t>Ferrovia (swissTLM3D)</t>
  </si>
  <si>
    <t>Buildings (swissTLM3D)</t>
  </si>
  <si>
    <t>Bâtiments (swissTLM3D)</t>
  </si>
  <si>
    <t>Edifici (swissTLM3D)</t>
  </si>
  <si>
    <t>Sports field (swissTLM3D)</t>
  </si>
  <si>
    <t>Terrain de sport (swissTLM3D)</t>
  </si>
  <si>
    <t>Campo sportivo (swissTLM3D)</t>
  </si>
  <si>
    <t>Dam / barrier (swissTLM3D)</t>
  </si>
  <si>
    <t>Barrage (swissTLM3D)</t>
  </si>
  <si>
    <t>Diga / sbarramento (swissTLM3D)</t>
  </si>
  <si>
    <t>Traffic structure (swissTLM3D)</t>
  </si>
  <si>
    <t>Structure de circulation (swissTLM3D)</t>
  </si>
  <si>
    <t>Struttura stradale (swissTLM3D)</t>
  </si>
  <si>
    <t>Usage area (swissTLM3D)</t>
  </si>
  <si>
    <t>Zone d'utilisation (swissTLM3D)</t>
  </si>
  <si>
    <t>Area di utilizzo (swissTLM3D)</t>
  </si>
  <si>
    <t>Extraction area (swissTLM3D)</t>
  </si>
  <si>
    <t>Zone d'extraction (swissTLM3D)</t>
  </si>
  <si>
    <t>Area di estrazione (swissTLM3D)</t>
  </si>
  <si>
    <t>Allotment gardens (swissTLM3D)</t>
  </si>
  <si>
    <t>Jardins familiaux (swissTLM3D)</t>
  </si>
  <si>
    <t>Orti (swissTLM3D)</t>
  </si>
  <si>
    <t>Traffic area (swissTLM3D)</t>
  </si>
  <si>
    <t>Zone de circulation (swissTLM3D)</t>
  </si>
  <si>
    <t>Area di traffico (swissTLM3D)</t>
  </si>
  <si>
    <t xml:space="preserve">BPA_QI </t>
  </si>
  <si>
    <t>Avg_Area_ha</t>
  </si>
  <si>
    <t>2019_Area_m2</t>
  </si>
  <si>
    <t>2020_Area_m2</t>
  </si>
  <si>
    <t>2021_Area_m22</t>
  </si>
  <si>
    <t>2022_Area_m23</t>
  </si>
  <si>
    <t>2023_Area_m24</t>
  </si>
  <si>
    <t>2024_Area_m25</t>
  </si>
  <si>
    <t>2025_Area_m26</t>
  </si>
  <si>
    <t>Alpine Pasture</t>
  </si>
  <si>
    <t>Crop_Label_lv3</t>
  </si>
  <si>
    <t>Crop_Label_lv2</t>
  </si>
  <si>
    <t>(Alle)</t>
  </si>
  <si>
    <t>Summe von Avg_Area_ha</t>
  </si>
  <si>
    <t>Spring Barley</t>
  </si>
  <si>
    <t>Spring Wheat</t>
  </si>
  <si>
    <t>Spring Cereals</t>
  </si>
  <si>
    <t>Permanent</t>
  </si>
  <si>
    <t>Grain Maize</t>
  </si>
  <si>
    <t>Silage Maize</t>
  </si>
  <si>
    <t>Annual Horticulture</t>
  </si>
  <si>
    <t>Mixed Cereals</t>
  </si>
  <si>
    <t>Spring Rapeseed</t>
  </si>
  <si>
    <t>Durum Wheat</t>
  </si>
  <si>
    <t>Oil Pumpkins</t>
  </si>
  <si>
    <t>Ancient Wheat</t>
  </si>
  <si>
    <t>Beans</t>
  </si>
  <si>
    <t>Chicory Root</t>
  </si>
  <si>
    <t>Spices</t>
  </si>
  <si>
    <t>Horticulture</t>
  </si>
  <si>
    <t>Sunflower</t>
  </si>
  <si>
    <t>Hedges</t>
  </si>
  <si>
    <t>Wetland</t>
  </si>
  <si>
    <t>Perennial Spices</t>
  </si>
  <si>
    <t>Perennial Special Crops</t>
  </si>
  <si>
    <t>Perennial Horticulture</t>
  </si>
  <si>
    <t>Perennial Vegetables</t>
  </si>
  <si>
    <t>Minor Oilseeds</t>
  </si>
  <si>
    <t>Oilseeds</t>
  </si>
  <si>
    <t>Crop_Label_lv1</t>
  </si>
  <si>
    <t>Orchard</t>
  </si>
  <si>
    <t>Mixed Legumes</t>
  </si>
  <si>
    <t>Annual Berries</t>
  </si>
  <si>
    <t>Perennial Berries</t>
  </si>
  <si>
    <t>Temporary Grassland</t>
  </si>
  <si>
    <t>Wildflower strips</t>
  </si>
  <si>
    <t>Conservation headlands on open arable land</t>
  </si>
  <si>
    <t>Improved (species-rich) field margins on arable land</t>
  </si>
  <si>
    <t>Litter Meadow</t>
  </si>
  <si>
    <t>Arable Land</t>
  </si>
  <si>
    <t>Built-up</t>
  </si>
  <si>
    <t>Christmas Trees</t>
  </si>
  <si>
    <t>Nursery</t>
  </si>
  <si>
    <t>Chestnut</t>
  </si>
  <si>
    <t>Communal Pasture</t>
  </si>
  <si>
    <t>Crop_Label</t>
  </si>
  <si>
    <t>Pulses</t>
  </si>
  <si>
    <t>HCATv4_Identifier</t>
  </si>
  <si>
    <t>Woody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</si>
</sst>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NumberFormat="1"/>
    <xf numFmtId="0" fontId="0" fillId="0" borderId="1" xfId="0" applyFont="1" applyBorder="1"/>
    <xf numFmtId="0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NumberFormat="1" applyFont="1"/>
    <xf numFmtId="0" fontId="0" fillId="0" borderId="0" xfId="0" applyNumberFormat="1" applyFont="1" applyAlignment="1"/>
    <xf numFmtId="0" fontId="2" fillId="0" borderId="0" xfId="0" applyFont="1"/>
    <xf numFmtId="0" fontId="0" fillId="0" borderId="1" xfId="0" applyFont="1" applyFill="1" applyBorder="1"/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Font="1" applyFill="1"/>
    <xf numFmtId="0" fontId="0" fillId="0" borderId="0" xfId="0" applyNumberFormat="1" applyFont="1" applyFill="1"/>
    <xf numFmtId="1" fontId="0" fillId="0" borderId="0" xfId="0" applyNumberFormat="1"/>
    <xf numFmtId="0" fontId="0" fillId="0" borderId="2" xfId="0" applyNumberFormat="1" applyFont="1" applyBorder="1" applyProtection="1"/>
    <xf numFmtId="0" fontId="0" fillId="0" borderId="0" xfId="0" applyNumberFormat="1" applyFont="1" applyFill="1" applyBorder="1"/>
    <xf numFmtId="0" fontId="0" fillId="0" borderId="0" xfId="0" applyProtection="1"/>
    <xf numFmtId="0" fontId="0" fillId="0" borderId="0" xfId="0" applyNumberFormat="1" applyFont="1" applyProtection="1"/>
    <xf numFmtId="0" fontId="0" fillId="0" borderId="0" xfId="0" applyFont="1" applyProtection="1"/>
    <xf numFmtId="0" fontId="0" fillId="0" borderId="2" xfId="0" applyNumberFormat="1" applyFont="1" applyFill="1" applyBorder="1" applyProtection="1"/>
    <xf numFmtId="0" fontId="0" fillId="0" borderId="0" xfId="0" applyFill="1" applyProtection="1"/>
    <xf numFmtId="1" fontId="0" fillId="2" borderId="1" xfId="0" applyNumberFormat="1" applyFill="1" applyBorder="1"/>
    <xf numFmtId="1" fontId="0" fillId="2" borderId="2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0" fontId="0" fillId="0" borderId="0" xfId="0" applyNumberFormat="1" applyFont="1" applyBorder="1"/>
    <xf numFmtId="0" fontId="0" fillId="0" borderId="3" xfId="0" applyFont="1" applyFill="1" applyBorder="1"/>
    <xf numFmtId="0" fontId="0" fillId="0" borderId="3" xfId="0" applyNumberFormat="1" applyFont="1" applyFill="1" applyBorder="1"/>
    <xf numFmtId="0" fontId="0" fillId="0" borderId="4" xfId="0" applyNumberFormat="1" applyFont="1" applyFill="1" applyBorder="1" applyProtection="1"/>
    <xf numFmtId="0" fontId="0" fillId="0" borderId="4" xfId="0" applyNumberFormat="1" applyFont="1" applyFill="1" applyBorder="1"/>
    <xf numFmtId="1" fontId="0" fillId="0" borderId="3" xfId="0" applyNumberFormat="1" applyFill="1" applyBorder="1"/>
    <xf numFmtId="1" fontId="0" fillId="0" borderId="4" xfId="0" applyNumberFormat="1" applyFill="1" applyBorder="1"/>
    <xf numFmtId="0" fontId="0" fillId="0" borderId="0" xfId="0" applyAlignment="1">
      <alignment horizontal="center"/>
    </xf>
    <xf numFmtId="1" fontId="0" fillId="0" borderId="0" xfId="0" applyNumberFormat="1" applyFont="1"/>
    <xf numFmtId="1" fontId="0" fillId="0" borderId="1" xfId="0" applyNumberFormat="1" applyFont="1" applyFill="1" applyBorder="1"/>
    <xf numFmtId="1" fontId="2" fillId="0" borderId="0" xfId="0" applyNumberFormat="1" applyFont="1"/>
    <xf numFmtId="1" fontId="0" fillId="0" borderId="0" xfId="0" applyNumberFormat="1" applyFill="1"/>
    <xf numFmtId="0" fontId="0" fillId="0" borderId="0" xfId="0" applyAlignment="1">
      <alignment horizontal="center"/>
    </xf>
  </cellXfs>
  <cellStyles count="1">
    <cellStyle name="Standard" xfId="0" builtinId="0"/>
  </cellStyles>
  <dxfs count="65"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ber Thomas" refreshedDate="46072.642944444444" createdVersion="7" refreshedVersion="7" minRefreshableVersion="3" recordCount="205" xr:uid="{9C1B3D2E-F35D-4EC6-A218-6ED18C7D6A97}">
  <cacheSource type="worksheet">
    <worksheetSource ref="A1:Q1048576" sheet="label_sheet"/>
  </cacheSource>
  <cacheFields count="16">
    <cacheField name="LNF_code" numFmtId="0">
      <sharedItems containsString="0" containsBlank="1" containsNumber="1" containsInteger="1" minValue="501" maxValue="1930"/>
    </cacheField>
    <cacheField name="Crop_DE" numFmtId="0">
      <sharedItems containsBlank="1"/>
    </cacheField>
    <cacheField name="Crop_EN" numFmtId="0">
      <sharedItems containsBlank="1"/>
    </cacheField>
    <cacheField name="Crop_FR" numFmtId="0">
      <sharedItems containsBlank="1" longText="1"/>
    </cacheField>
    <cacheField name="Crop_IT" numFmtId="0">
      <sharedItems containsBlank="1" longText="1"/>
    </cacheField>
    <cacheField name="Valid_from" numFmtId="0">
      <sharedItems containsString="0" containsBlank="1" containsNumber="1" containsInteger="1" minValue="2022" maxValue="2023"/>
    </cacheField>
    <cacheField name="Valid_until" numFmtId="0">
      <sharedItems containsString="0" containsBlank="1" containsNumber="1" containsInteger="1" minValue="2021" maxValue="2024"/>
    </cacheField>
    <cacheField name="Overlapping" numFmtId="0">
      <sharedItems containsString="0" containsBlank="1" containsNumber="1" containsInteger="1" minValue="0" maxValue="1"/>
    </cacheField>
    <cacheField name="BPA_QI " numFmtId="0">
      <sharedItems containsString="0" containsBlank="1" containsNumber="1" containsInteger="1" minValue="0" maxValue="1"/>
    </cacheField>
    <cacheField name="Special_culture" numFmtId="0">
      <sharedItems containsString="0" containsBlank="1" containsNumber="1" containsInteger="1" minValue="0" maxValue="1"/>
    </cacheField>
    <cacheField name="Crop_Label" numFmtId="0">
      <sharedItems containsBlank="1"/>
    </cacheField>
    <cacheField name="Crop_Label_lv1" numFmtId="0">
      <sharedItems containsBlank="1" count="57">
        <s v="Spring Barley"/>
        <s v="Winter Barley"/>
        <s v="Oat"/>
        <s v="Triticale"/>
        <s v="Other Cereals"/>
        <s v="Winter Wheat"/>
        <s v="Grain Maize"/>
        <s v="Rice"/>
        <s v="Spring Wheat"/>
        <s v="Rye"/>
        <s v="Spelt"/>
        <s v="Silage Maize"/>
        <s v="Sugar Beets"/>
        <s v="Beets"/>
        <s v="Potatoes"/>
        <s v="Rapeseed"/>
        <s v="Soybean"/>
        <s v="Sunflower"/>
        <s v="Minor Oilseeds"/>
        <s v="Special Crops"/>
        <s v="Beans"/>
        <s v="Peas"/>
        <s v="Lupine"/>
        <s v="Oil Pumpkins"/>
        <s v="Chickpeas"/>
        <s v="Millet"/>
        <s v="Vegetables"/>
        <s v="Chicory Root"/>
        <s v="Sorghum"/>
        <m/>
        <s v="Annual Berries"/>
        <s v="Fallow"/>
        <s v="Lentils"/>
        <s v="Mixed Legumes"/>
        <s v="Ley"/>
        <s v="Extensive Meadow"/>
        <s v="Less Intensive Meadow"/>
        <s v="Intensive Meadow"/>
        <s v="Intensive Pasture"/>
        <s v="Extensive Pasture"/>
        <s v="Forest Pasture"/>
        <s v="Vines"/>
        <s v="Tree Crops"/>
        <s v="Perennial Berries"/>
        <s v="Perennial Spices"/>
        <s v="Perennial Special Crops"/>
        <s v="Perennial Vegetables"/>
        <s v="Forest"/>
        <s v="Nursery"/>
        <s v="Greenhouses"/>
        <s v="Litter Meadow"/>
        <s v="Unproductive Area"/>
        <s v="Water"/>
        <s v="Built-up"/>
        <s v="Alpine Pasture"/>
        <s v="Pasture"/>
        <s v="Wetland"/>
      </sharedItems>
    </cacheField>
    <cacheField name="Crop_Label_lv2" numFmtId="0">
      <sharedItems containsBlank="1"/>
    </cacheField>
    <cacheField name="Crop_Label_lv3" numFmtId="0">
      <sharedItems containsBlank="1"/>
    </cacheField>
    <cacheField name="Exclude" numFmtId="0">
      <sharedItems containsBlank="1" count="2">
        <m/>
        <s v="True"/>
      </sharedItems>
    </cacheField>
    <cacheField name="Avg_Area_ha" numFmtId="0">
      <sharedItems containsString="0" containsBlank="1" containsNumber="1" minValue="0" maxValue="1090777.630259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ber Thomas" refreshedDate="46182.740818171296" createdVersion="7" refreshedVersion="7" minRefreshableVersion="3" recordCount="205" xr:uid="{272FFE29-FB82-47C1-965E-A3905C4B6B2E}">
  <cacheSource type="worksheet">
    <worksheetSource ref="A1:Q1048576" sheet="label_sheet"/>
  </cacheSource>
  <cacheFields count="17">
    <cacheField name="LNF_code" numFmtId="0">
      <sharedItems containsString="0" containsBlank="1" containsNumber="1" containsInteger="1" minValue="501" maxValue="1930"/>
    </cacheField>
    <cacheField name="Crop_DE" numFmtId="0">
      <sharedItems containsBlank="1"/>
    </cacheField>
    <cacheField name="Crop_EN" numFmtId="0">
      <sharedItems containsBlank="1"/>
    </cacheField>
    <cacheField name="Crop_FR" numFmtId="0">
      <sharedItems containsBlank="1" longText="1"/>
    </cacheField>
    <cacheField name="Crop_IT" numFmtId="0">
      <sharedItems containsBlank="1" longText="1"/>
    </cacheField>
    <cacheField name="Valid_from" numFmtId="0">
      <sharedItems containsString="0" containsBlank="1" containsNumber="1" containsInteger="1" minValue="2022" maxValue="2023"/>
    </cacheField>
    <cacheField name="Valid_until" numFmtId="0">
      <sharedItems containsString="0" containsBlank="1" containsNumber="1" containsInteger="1" minValue="2021" maxValue="2024"/>
    </cacheField>
    <cacheField name="Overlapping" numFmtId="0">
      <sharedItems containsString="0" containsBlank="1" containsNumber="1" containsInteger="1" minValue="0" maxValue="1"/>
    </cacheField>
    <cacheField name="BPA_QI " numFmtId="0">
      <sharedItems containsString="0" containsBlank="1" containsNumber="1" containsInteger="1" minValue="0" maxValue="1"/>
    </cacheField>
    <cacheField name="Special_culture" numFmtId="0">
      <sharedItems containsString="0" containsBlank="1" containsNumber="1" containsInteger="1" minValue="0" maxValue="1"/>
    </cacheField>
    <cacheField name="Crop_Label" numFmtId="0">
      <sharedItems containsBlank="1" containsMixedTypes="1" containsNumber="1" containsInteger="1" minValue="79" maxValue="79" count="80">
        <s v="Spring Barley"/>
        <s v="Winter Barley"/>
        <s v="Oat"/>
        <s v="Triticale"/>
        <s v="Mixed Cereals"/>
        <s v="Winter Wheat"/>
        <s v="Grain Maize"/>
        <s v="Rice"/>
        <s v="Durum Wheat"/>
        <s v="Ancient Wheat"/>
        <s v="Spring Wheat"/>
        <s v="Rye"/>
        <s v="Spelt"/>
        <s v="Silage Maize"/>
        <s v="Sugar Beets"/>
        <s v="Beets"/>
        <s v="Potatoes"/>
        <s v="Spring Rapeseed"/>
        <s v="Winter Rapeseed"/>
        <s v="Soybean"/>
        <s v="Sunflower"/>
        <s v="Flax"/>
        <s v="Hemp"/>
        <s v="Beans"/>
        <s v="Peas"/>
        <s v="Lupine"/>
        <s v="Oil Pumpkins"/>
        <s v="Chickpeas"/>
        <s v="Tobacco"/>
        <s v="Millet"/>
        <s v="Silage Cereals"/>
        <s v="Camelina"/>
        <s v="Vegetables"/>
        <s v="Chicory Root"/>
        <s v="Buckwheat"/>
        <s v="Sorghum"/>
        <m/>
        <s v="Annual Berries"/>
        <s v="Special Crops"/>
        <s v="Spices"/>
        <s v="Horticulture"/>
        <s v="Fallow"/>
        <s v="Poppy"/>
        <s v="Safflower"/>
        <s v="Lentils"/>
        <s v="Mixed Legumes"/>
        <s v="Mustard"/>
        <s v="Quinoa"/>
        <s v="Ley"/>
        <s v="Extensive Meadow"/>
        <s v="Less Intensive Meadow"/>
        <s v="Intensive Meadow"/>
        <s v="Intensive Pasture"/>
        <s v="Extensive Pasture"/>
        <s v="Forest Pasture"/>
        <s v="Vines"/>
        <s v="Apples"/>
        <s v="Pears"/>
        <s v="Stone Fruit"/>
        <s v="Perennial Berries"/>
        <s v="Perennial Spices"/>
        <s v="Perennial Special Crops"/>
        <s v="Hops"/>
        <s v="Rhubarb"/>
        <s v="Asparagus"/>
        <s v="Christmas Trees"/>
        <s v="Nursery"/>
        <s v="Chestnut"/>
        <s v="Other Tree Crops"/>
        <s v="Greenhouses"/>
        <s v="Litter Meadow"/>
        <s v="Hedges"/>
        <s v="Forest"/>
        <s v="Unproductive Area"/>
        <s v="Water"/>
        <s v="Built-up"/>
        <s v="Alpine Pasture"/>
        <s v="Communal Pasture"/>
        <s v="Wetland"/>
        <n v="79" u="1"/>
      </sharedItems>
    </cacheField>
    <cacheField name="Crop_Label_lv1" numFmtId="0">
      <sharedItems containsBlank="1"/>
    </cacheField>
    <cacheField name="Crop_Label_lv2" numFmtId="0">
      <sharedItems containsBlank="1" count="39">
        <s v="Spring Cereals"/>
        <s v="Winter Cereals"/>
        <s v="Summer Cereals"/>
        <s v="Rice"/>
        <s v="Root Crops"/>
        <s v="Oilseeds"/>
        <s v="Annual Horticulture"/>
        <s v="Pulses"/>
        <m/>
        <s v="Temporary Grassland"/>
        <s v="Meadow"/>
        <s v="Pasture"/>
        <s v="Orchard"/>
        <s v="Perennial Horticulture"/>
        <s v="Forest"/>
        <s v="Nursery"/>
        <s v="Greenhouses"/>
        <s v="Unproductive Area"/>
        <s v="Water"/>
        <s v="Built-up"/>
        <s v="Alpine Pasture"/>
        <s v="Wetland"/>
        <s v="Extensive Meadow" u="1"/>
        <s v="Less Intensive Meadow" u="1"/>
        <s v="Cereal-Legume Mix" u="1"/>
        <s v="Extensive Pasture" u="1"/>
        <s v="Legumes" u="1"/>
        <s v="Intensive Meadow" u="1"/>
        <s v="Summer Oilseeds" u="1"/>
        <s v="Wet Meadows" u="1"/>
        <s v="Ley" u="1"/>
        <s v="Fallow" u="1"/>
        <s v="Tree Crops" u="1"/>
        <s v="Intensive Pasture" u="1"/>
        <s v="Special Crops" u="1"/>
        <s v="Brassica Oilseeds" u="1"/>
        <s v="Built" u="1"/>
        <s v="Forest Pasture" u="1"/>
        <s v="Vines" u="1"/>
      </sharedItems>
    </cacheField>
    <cacheField name="Crop_Label_lv3" numFmtId="0">
      <sharedItems containsBlank="1" count="10">
        <s v="Arable Land"/>
        <m/>
        <s v="Grassland"/>
        <s v="Permanent"/>
        <s v="Forest"/>
        <s v="Unproductive Area"/>
        <s v="Water"/>
        <s v="Built-up"/>
        <s v="Wetland"/>
        <s v="Other" u="1"/>
      </sharedItems>
    </cacheField>
    <cacheField name="Exclude" numFmtId="0">
      <sharedItems containsBlank="1" count="2">
        <m/>
        <s v="True"/>
      </sharedItems>
    </cacheField>
    <cacheField name="Avg_Area_ha" numFmtId="0">
      <sharedItems containsString="0" containsBlank="1" containsNumber="1" minValue="0" maxValue="1090777.630259081"/>
    </cacheField>
    <cacheField name="2019_Area_m2" numFmtId="0">
      <sharedItems containsString="0" containsBlank="1" containsNumber="1" minValue="0" maxValue="11179558292.5066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501"/>
    <s v="Sommergerste"/>
    <s v="Spring barley"/>
    <s v="Orge de printemps"/>
    <s v="Orzo primaverile"/>
    <m/>
    <m/>
    <n v="0"/>
    <n v="0"/>
    <n v="0"/>
    <s v="Spring Barley"/>
    <x v="0"/>
    <s v="Spring Cereals"/>
    <s v="Arable Land"/>
    <x v="0"/>
    <n v="783.95213214285718"/>
  </r>
  <r>
    <n v="502"/>
    <s v="Wintergerste"/>
    <s v="Winter barley"/>
    <s v="Orge d’automne"/>
    <s v="Orzo autunnale"/>
    <m/>
    <m/>
    <n v="0"/>
    <n v="0"/>
    <n v="0"/>
    <s v="Winter Barley"/>
    <x v="1"/>
    <s v="Winter Cereals"/>
    <s v="Arable Land"/>
    <x v="0"/>
    <n v="22283.892973532031"/>
  </r>
  <r>
    <n v="504"/>
    <s v="Hafer"/>
    <s v="Oats"/>
    <s v="Avoine"/>
    <s v="Avena"/>
    <m/>
    <m/>
    <n v="0"/>
    <n v="0"/>
    <n v="0"/>
    <s v="Oat"/>
    <x v="2"/>
    <s v="Spring Cereals"/>
    <s v="Arable Land"/>
    <x v="0"/>
    <n v="1947.3698666029147"/>
  </r>
  <r>
    <n v="505"/>
    <s v="Triticale"/>
    <s v="Triticale"/>
    <s v="Triticale"/>
    <s v="Triticale"/>
    <m/>
    <m/>
    <n v="0"/>
    <n v="0"/>
    <n v="0"/>
    <s v="Triticale"/>
    <x v="3"/>
    <s v="Winter Cereals"/>
    <s v="Arable Land"/>
    <x v="0"/>
    <n v="5951.3404074107148"/>
  </r>
  <r>
    <n v="506"/>
    <s v="Mischel Futtergetreide"/>
    <s v="Mixed fodder cereals"/>
    <s v="Méteil de céréales fourragères"/>
    <s v="Miscela di cereali da foraggio"/>
    <m/>
    <m/>
    <n v="0"/>
    <n v="0"/>
    <n v="0"/>
    <s v="Mixed Cereals"/>
    <x v="4"/>
    <s v="Winter Cereals"/>
    <s v="Arable Land"/>
    <x v="1"/>
    <n v="220.23700714285712"/>
  </r>
  <r>
    <n v="507"/>
    <s v="Futterweizen gemäss Sortenliste swiss granum"/>
    <s v="Fodder wheat according to Swiss Granum list"/>
    <s v="Blé fourrager selon liste swiss granum"/>
    <s v="Frumento da foraggio giusta la lista di swiss granum"/>
    <m/>
    <m/>
    <n v="0"/>
    <n v="0"/>
    <n v="0"/>
    <s v="Winter Wheat"/>
    <x v="5"/>
    <s v="Winter Cereals"/>
    <s v="Arable Land"/>
    <x v="0"/>
    <n v="7671.7773209235211"/>
  </r>
  <r>
    <n v="508"/>
    <s v="Körnermais"/>
    <s v="Grain maize"/>
    <s v="Maïs grain"/>
    <s v="Mais da granella"/>
    <m/>
    <m/>
    <n v="0"/>
    <n v="0"/>
    <n v="0"/>
    <s v="Grain Maize"/>
    <x v="6"/>
    <s v="Summer Cereals"/>
    <s v="Arable Land"/>
    <x v="0"/>
    <n v="14623.443504270146"/>
  </r>
  <r>
    <n v="509"/>
    <s v="Reis"/>
    <s v="Rice"/>
    <s v="Riz"/>
    <s v="Riso"/>
    <m/>
    <n v="2022"/>
    <n v="0"/>
    <n v="0"/>
    <n v="0"/>
    <s v="Rice"/>
    <x v="7"/>
    <s v="Rice"/>
    <s v="Arable Land"/>
    <x v="0"/>
    <n v="64.731162499999996"/>
  </r>
  <r>
    <n v="510"/>
    <s v="Hartweizen"/>
    <s v="Durum wheat"/>
    <s v="Blé dur"/>
    <s v="Grano duro"/>
    <n v="2023"/>
    <m/>
    <n v="0"/>
    <n v="0"/>
    <n v="0"/>
    <s v="Durum Wheat"/>
    <x v="4"/>
    <s v="Winter Cereals"/>
    <s v="Arable Land"/>
    <x v="1"/>
    <n v="283.06594999999999"/>
  </r>
  <r>
    <n v="511"/>
    <s v="Emmer, Einkorn"/>
    <s v="Emmer, Einkorn"/>
    <s v="Amidonnier, engrain"/>
    <s v="Farro, piccola spelta"/>
    <m/>
    <m/>
    <n v="0"/>
    <n v="0"/>
    <n v="0"/>
    <s v="Ancient Wheat"/>
    <x v="4"/>
    <s v="Winter Cereals"/>
    <s v="Arable Land"/>
    <x v="1"/>
    <n v="283.50887678571428"/>
  </r>
  <r>
    <n v="512"/>
    <s v="Sommerweizen (ohne Futterweizen der Sortenliste swiss granum)"/>
    <s v="Spring wheat (excluding Swiss Granum fodder wheat)"/>
    <s v="Blé de printemps (sans blé fourrager de la liste swiss granum)"/>
    <s v="Frumento primaverile (escl. il frumento da foraggio di swiss granum)"/>
    <m/>
    <m/>
    <n v="0"/>
    <n v="0"/>
    <n v="0"/>
    <s v="Spring Wheat"/>
    <x v="8"/>
    <s v="Spring Cereals"/>
    <s v="Arable Land"/>
    <x v="0"/>
    <n v="1448.6381081632653"/>
  </r>
  <r>
    <n v="513"/>
    <s v="Winterweizen (ohne Futterweizen der Sortenliste swiss granum)"/>
    <s v="Winter wheat (excluding Swiss Granum fodder wheat)"/>
    <s v="Blé d'automne (sans blé fourrager de la liste swiss granum)"/>
    <s v="Frumento autunnale (escl. il frumento da foraggio di swiss granum)"/>
    <m/>
    <m/>
    <n v="0"/>
    <n v="0"/>
    <n v="0"/>
    <s v="Winter Wheat"/>
    <x v="5"/>
    <s v="Winter Cereals"/>
    <s v="Arable Land"/>
    <x v="0"/>
    <n v="62816.710120987693"/>
  </r>
  <r>
    <n v="514"/>
    <s v="Roggen"/>
    <s v="Rye"/>
    <s v="Seigle"/>
    <s v="Segale"/>
    <m/>
    <m/>
    <n v="0"/>
    <n v="0"/>
    <n v="0"/>
    <s v="Rye"/>
    <x v="9"/>
    <s v="Winter Cereals"/>
    <s v="Arable Land"/>
    <x v="0"/>
    <n v="1681.443201098901"/>
  </r>
  <r>
    <n v="515"/>
    <s v="Mischel Brotgetreide"/>
    <s v="Mixed bread cereals"/>
    <s v="Méteil de céréales panifiables"/>
    <s v="Miscela di cereali panificabili"/>
    <m/>
    <m/>
    <n v="0"/>
    <n v="0"/>
    <n v="0"/>
    <s v="Mixed Cereals"/>
    <x v="4"/>
    <s v="Winter Cereals"/>
    <s v="Arable Land"/>
    <x v="1"/>
    <n v="45.726514285714281"/>
  </r>
  <r>
    <n v="516"/>
    <s v="Dinkel"/>
    <s v="Spelt"/>
    <s v="Epeautre"/>
    <s v="Spelta"/>
    <m/>
    <m/>
    <n v="0"/>
    <n v="0"/>
    <n v="0"/>
    <s v="Spelt"/>
    <x v="10"/>
    <s v="Winter Cereals"/>
    <s v="Arable Land"/>
    <x v="0"/>
    <n v="6325.2368508246263"/>
  </r>
  <r>
    <n v="519"/>
    <s v="Saatmais (Vertragsanbau)"/>
    <s v="Seed maize (contract farming)"/>
    <s v="Semences de maïs (contrat de culture)"/>
    <s v="Mais da semina (coltivazione contrattuale)"/>
    <m/>
    <m/>
    <n v="0"/>
    <n v="0"/>
    <n v="0"/>
    <s v="Grain Maize"/>
    <x v="6"/>
    <s v="Summer Cereals"/>
    <s v="Arable Land"/>
    <x v="0"/>
    <n v="157.98390714285713"/>
  </r>
  <r>
    <n v="520"/>
    <s v="Trockenreis"/>
    <s v="Dryland rice"/>
    <s v="Riz en culture sèche"/>
    <s v="Riso seminato su terreno asciutto"/>
    <n v="2023"/>
    <m/>
    <n v="0"/>
    <n v="0"/>
    <n v="0"/>
    <s v="Rice"/>
    <x v="7"/>
    <s v="Rice"/>
    <s v="Arable Land"/>
    <x v="0"/>
    <n v="56.367616666666663"/>
  </r>
  <r>
    <n v="521"/>
    <s v="Silo- und Grünmais"/>
    <s v="Silage and green maize"/>
    <s v="Maïs d'ensilage et maïs vert"/>
    <s v="Mais da insilamento e verde"/>
    <m/>
    <m/>
    <n v="0"/>
    <n v="0"/>
    <n v="0"/>
    <s v="Silage Maize"/>
    <x v="11"/>
    <s v="Summer Cereals"/>
    <s v="Arable Land"/>
    <x v="0"/>
    <n v="42553.314287612768"/>
  </r>
  <r>
    <n v="522"/>
    <s v="Zuckerrüben"/>
    <s v="Sugar beets"/>
    <s v="Betteraves sucrières"/>
    <s v="Barbabietole da zucchero"/>
    <m/>
    <m/>
    <n v="0"/>
    <n v="0"/>
    <n v="0"/>
    <s v="Sugar Beets"/>
    <x v="12"/>
    <s v="Root Crops"/>
    <s v="Arable Land"/>
    <x v="0"/>
    <n v="14966.840917132518"/>
  </r>
  <r>
    <n v="523"/>
    <s v="Futterrüben"/>
    <s v="Fodder beets"/>
    <s v="Betteraves fourragères"/>
    <s v="Barbabietole da foraggio"/>
    <m/>
    <m/>
    <n v="0"/>
    <n v="0"/>
    <n v="0"/>
    <s v="Beets"/>
    <x v="13"/>
    <s v="Root Crops"/>
    <s v="Arable Land"/>
    <x v="0"/>
    <n v="283.98903571428571"/>
  </r>
  <r>
    <n v="524"/>
    <s v="Kartoffeln"/>
    <s v="Potatoes"/>
    <s v="Pommes de terre"/>
    <s v="Patate"/>
    <m/>
    <m/>
    <n v="0"/>
    <n v="0"/>
    <n v="0"/>
    <s v="Potatoes"/>
    <x v="14"/>
    <s v="Root Crops"/>
    <s v="Arable Land"/>
    <x v="0"/>
    <n v="7944.6370557463433"/>
  </r>
  <r>
    <n v="525"/>
    <s v="Pflanzkartoffeln (Vertragsanbau)"/>
    <s v="Seed potatoes (contract farming)"/>
    <s v="Plants de pommes de terre (contrat de culture)"/>
    <s v="Tuberi-seme di patate (coltivazione contrattuale)"/>
    <m/>
    <m/>
    <n v="0"/>
    <n v="0"/>
    <n v="0"/>
    <s v="Potatoes"/>
    <x v="14"/>
    <s v="Root Crops"/>
    <s v="Arable Land"/>
    <x v="0"/>
    <n v="1190.1565096712241"/>
  </r>
  <r>
    <n v="526"/>
    <s v="Sommerraps zur Speiseölgewinnung"/>
    <s v="Spring rapeseed for edible oil"/>
    <s v="Colza de printemps destiné à la fabrication d’huile comestible"/>
    <s v="Colza primaverile per l’estrazione di olio commestibile"/>
    <m/>
    <m/>
    <n v="0"/>
    <n v="0"/>
    <n v="0"/>
    <s v="Spring Rapeseed"/>
    <x v="15"/>
    <s v="Oilseeds"/>
    <s v="Arable Land"/>
    <x v="0"/>
    <n v="88.942621428571428"/>
  </r>
  <r>
    <n v="527"/>
    <s v="Winterraps zur Speiseölgewinnung"/>
    <s v="Winter rapeseed for edible oil"/>
    <s v="Colza d’automne destiné à la fabrication d’huile comestible"/>
    <s v="Colza autunnale per l’estrazione di olio commestibile"/>
    <m/>
    <m/>
    <n v="0"/>
    <n v="0"/>
    <n v="0"/>
    <s v="Winter Rapeseed"/>
    <x v="15"/>
    <s v="Oilseeds"/>
    <s v="Arable Land"/>
    <x v="0"/>
    <n v="22052.162749027302"/>
  </r>
  <r>
    <n v="528"/>
    <s v="Soja"/>
    <s v="Soybean"/>
    <s v="Soja"/>
    <s v="Soia"/>
    <m/>
    <m/>
    <n v="0"/>
    <n v="0"/>
    <n v="0"/>
    <s v="Soybean"/>
    <x v="16"/>
    <s v="Oilseeds"/>
    <s v="Arable Land"/>
    <x v="0"/>
    <n v="2546.4169552548392"/>
  </r>
  <r>
    <n v="529"/>
    <s v="Nassreis"/>
    <s v="Wetland rice"/>
    <s v="Riz en culture humide"/>
    <s v="Riso seminato su terreno bagnato"/>
    <n v="2023"/>
    <m/>
    <n v="0"/>
    <n v="0"/>
    <n v="0"/>
    <s v="Rice"/>
    <x v="7"/>
    <s v="Rice"/>
    <s v="Arable Land"/>
    <x v="0"/>
    <n v="19.407900000000001"/>
  </r>
  <r>
    <n v="531"/>
    <s v="Sonnenblumen zur Speiseölgewinnung"/>
    <s v="Sunflower for edible oil"/>
    <s v="Tournesol destiné à la fabrication d’huile comestible"/>
    <s v="Girasole per l’estrazione di olio commestibile"/>
    <m/>
    <m/>
    <n v="0"/>
    <n v="0"/>
    <n v="0"/>
    <s v="Sunflower"/>
    <x v="17"/>
    <s v="Oilseeds"/>
    <s v="Arable Land"/>
    <x v="0"/>
    <n v="5546.2261956509037"/>
  </r>
  <r>
    <n v="534"/>
    <s v="Lein"/>
    <s v="Flax"/>
    <s v="Lin"/>
    <s v="Lino"/>
    <m/>
    <m/>
    <n v="0"/>
    <n v="0"/>
    <n v="0"/>
    <s v="Flax"/>
    <x v="18"/>
    <s v="Oilseeds"/>
    <s v="Arable Land"/>
    <x v="0"/>
    <n v="179.94047142857144"/>
  </r>
  <r>
    <n v="535"/>
    <s v="Hanf"/>
    <s v="Hemp"/>
    <s v="Chanvre"/>
    <s v="Canapa"/>
    <m/>
    <n v="2021"/>
    <n v="0"/>
    <n v="0"/>
    <n v="0"/>
    <s v="Hemp"/>
    <x v="19"/>
    <s v="Annual Horticulture"/>
    <s v="Arable Land"/>
    <x v="0"/>
    <n v="0"/>
  </r>
  <r>
    <n v="536"/>
    <s v="Bohnen und Wicken zur Körnergewinnung (z.B. Ackerbohnen) "/>
    <s v="Beans and vetches for grain production (e.g., field beans)"/>
    <s v="Haricots et vesces en grains (p.ex. féveroles)"/>
    <s v="Fagioli e vecce per l’estrazione di granelli (p.es. favette)"/>
    <m/>
    <m/>
    <n v="0"/>
    <n v="0"/>
    <n v="0"/>
    <s v="Beans"/>
    <x v="20"/>
    <s v="Pulses"/>
    <s v="Arable Land"/>
    <x v="0"/>
    <n v="773.72178146718147"/>
  </r>
  <r>
    <n v="537"/>
    <s v="Erbsen zur Körnergewinnung (z.B. Eiweisserbsen)"/>
    <s v="Peas for grain production (e.g., protein peas)"/>
    <s v="Pois en grains (p.ex. pois protéagineux)"/>
    <s v="Piselli per l’estrazione di granelli (p.es. piselli proteici)"/>
    <m/>
    <m/>
    <n v="0"/>
    <n v="0"/>
    <n v="0"/>
    <s v="Peas"/>
    <x v="21"/>
    <s v="Pulses"/>
    <s v="Arable Land"/>
    <x v="0"/>
    <n v="2410.9543621883172"/>
  </r>
  <r>
    <n v="538"/>
    <s v="Lupinen"/>
    <s v="Lupins"/>
    <s v="Lupins"/>
    <s v="Lupini"/>
    <m/>
    <m/>
    <n v="0"/>
    <n v="0"/>
    <n v="0"/>
    <s v="Lupine"/>
    <x v="22"/>
    <s v="Pulses"/>
    <s v="Arable Land"/>
    <x v="0"/>
    <n v="258.73302142857142"/>
  </r>
  <r>
    <n v="539"/>
    <s v="Ölkürbisse"/>
    <s v="Oil pumpkins"/>
    <s v="Courges à huile"/>
    <s v="Zucche per l’estrazione di olio"/>
    <m/>
    <m/>
    <n v="0"/>
    <n v="0"/>
    <n v="0"/>
    <s v="Oil Pumpkins"/>
    <x v="23"/>
    <s v="Annual Horticulture"/>
    <s v="Arable Land"/>
    <x v="0"/>
    <n v="92.410907142857141"/>
  </r>
  <r>
    <n v="540"/>
    <s v="Kichererbsen"/>
    <s v="Chickpeas"/>
    <s v="Pois chiches"/>
    <s v="Ceci"/>
    <n v="2023"/>
    <m/>
    <n v="0"/>
    <n v="0"/>
    <n v="0"/>
    <s v="Chickpeas"/>
    <x v="24"/>
    <s v="Pulses"/>
    <s v="Arable Land"/>
    <x v="1"/>
    <n v="74.286514722222236"/>
  </r>
  <r>
    <n v="541"/>
    <s v="Tabak"/>
    <s v="Tobacco"/>
    <s v="Tabac"/>
    <s v="Tabacco"/>
    <m/>
    <m/>
    <n v="0"/>
    <n v="0"/>
    <n v="1"/>
    <s v="Tobacco"/>
    <x v="19"/>
    <s v="Annual Horticulture"/>
    <s v="Arable Land"/>
    <x v="0"/>
    <n v="339.94855714285711"/>
  </r>
  <r>
    <n v="542"/>
    <s v="Hirse"/>
    <s v="Millet"/>
    <s v="Millet"/>
    <s v="Miglio"/>
    <m/>
    <n v="2022"/>
    <n v="0"/>
    <n v="0"/>
    <n v="0"/>
    <s v="Millet"/>
    <x v="25"/>
    <s v="Summer Cereals"/>
    <s v="Arable Land"/>
    <x v="0"/>
    <n v="242.06027692307691"/>
  </r>
  <r>
    <n v="543"/>
    <s v="Getreide siliert"/>
    <s v="Ensiled cereals"/>
    <s v="Céréales ensilées"/>
    <s v="Cereali insilati"/>
    <m/>
    <m/>
    <n v="0"/>
    <n v="0"/>
    <n v="0"/>
    <s v="Silage Cereals"/>
    <x v="4"/>
    <s v="Winter Cereals"/>
    <s v="Arable Land"/>
    <x v="1"/>
    <n v="574.75540714285717"/>
  </r>
  <r>
    <n v="544"/>
    <s v="Leindotter"/>
    <s v="Camelina"/>
    <s v="Cameline"/>
    <s v="Dorella"/>
    <m/>
    <m/>
    <n v="0"/>
    <n v="0"/>
    <n v="0"/>
    <s v="Camelina"/>
    <x v="18"/>
    <s v="Oilseeds"/>
    <s v="Arable Land"/>
    <x v="0"/>
    <n v="12.63735"/>
  </r>
  <r>
    <n v="545"/>
    <s v="Einjährige Freilandgemüse, ohne Konservengemüse"/>
    <s v="Annual open-field vegetables, excluding preserved vegetables"/>
    <s v="Cultures maraîchères de plein champ annuelles (sauf les légumes de conserve)"/>
    <s v="Ortaggi annuali di pieno campo (esclusi quelli destinati alla conservazione)"/>
    <m/>
    <m/>
    <n v="0"/>
    <n v="0"/>
    <n v="1"/>
    <s v="Vegetables"/>
    <x v="26"/>
    <s v="Annual Horticulture"/>
    <s v="Arable Land"/>
    <x v="0"/>
    <n v="9330.8260365258666"/>
  </r>
  <r>
    <n v="546"/>
    <s v="Freiland-Konservengemüse"/>
    <s v="Open-field vegetables for preservation"/>
    <s v="Légumes de conserve cultivés en plein champ"/>
    <s v="Ortaggi di pieno campo per la conservazione"/>
    <m/>
    <m/>
    <n v="0"/>
    <n v="0"/>
    <n v="0"/>
    <s v="Vegetables"/>
    <x v="26"/>
    <s v="Annual Horticulture"/>
    <s v="Arable Land"/>
    <x v="0"/>
    <n v="1609.4797000793651"/>
  </r>
  <r>
    <n v="547"/>
    <s v="Wurzeln der Treibzichorie"/>
    <s v="Roots of forced chicory"/>
    <s v="Racines de chicorée"/>
    <s v="Radici di cicoria di coltura forzata"/>
    <m/>
    <m/>
    <n v="0"/>
    <n v="0"/>
    <n v="1"/>
    <s v="Chicory Root"/>
    <x v="27"/>
    <s v="Root Crops"/>
    <s v="Arable Land"/>
    <x v="0"/>
    <n v="392.08204999999998"/>
  </r>
  <r>
    <n v="548"/>
    <s v="Buchweizen"/>
    <s v="Buckwheat"/>
    <s v="Sarrasin"/>
    <s v="Grano saraceno"/>
    <m/>
    <m/>
    <n v="0"/>
    <n v="0"/>
    <n v="0"/>
    <s v="Buckwheat"/>
    <x v="26"/>
    <s v="Annual Horticulture"/>
    <s v="Arable Land"/>
    <x v="0"/>
    <n v="70.660502318396809"/>
  </r>
  <r>
    <n v="549"/>
    <s v="Sorghum"/>
    <s v="Sorghum"/>
    <s v="Sorgho"/>
    <s v="Sorgo"/>
    <m/>
    <n v="2022"/>
    <n v="0"/>
    <n v="0"/>
    <n v="0"/>
    <s v="Sorghum"/>
    <x v="28"/>
    <s v="Summer Cereals"/>
    <s v="Arable Land"/>
    <x v="0"/>
    <n v="271.00381249999998"/>
  </r>
  <r>
    <n v="550"/>
    <s v="Übrige Ackerfläche"/>
    <s v="Other arable land"/>
    <s v="Autres terres assolées"/>
    <s v="Altra superficie coltiva"/>
    <m/>
    <m/>
    <n v="0"/>
    <n v="0"/>
    <n v="0"/>
    <m/>
    <x v="29"/>
    <m/>
    <m/>
    <x v="1"/>
    <n v="0"/>
  </r>
  <r>
    <n v="551"/>
    <s v="Einjährige Beeren (z.B. Erdbeeren)"/>
    <s v="Annual berries (e.g., strawberries)"/>
    <s v="Baies annuelles (p.ex. fraises)"/>
    <s v="Bacche annuali (p.es. fragole)"/>
    <m/>
    <m/>
    <n v="0"/>
    <n v="0"/>
    <n v="1"/>
    <s v="Annual Berries"/>
    <x v="30"/>
    <s v="Annual Horticulture"/>
    <s v="Arable Land"/>
    <x v="0"/>
    <n v="438.60440391371503"/>
  </r>
  <r>
    <n v="552"/>
    <s v="Einjährige nachwachsende Rohstoffe (Kenaf, usw.)"/>
    <s v="Annual renewable raw materials (Kenaf, etc.)"/>
    <s v="Matières premières renouvelables annuelles (kénaf, etc.)"/>
    <s v="Materie prime rinnovabili annuali (kenaf, ecc.)"/>
    <m/>
    <m/>
    <n v="0"/>
    <n v="0"/>
    <n v="0"/>
    <s v="Special Crops"/>
    <x v="19"/>
    <s v="Annual Horticulture"/>
    <s v="Arable Land"/>
    <x v="0"/>
    <n v="1.8362357142857142"/>
  </r>
  <r>
    <n v="553"/>
    <s v="Einjährige Gewürz- und Medizinalpflanzen"/>
    <s v="Annual spice and medicinal plants"/>
    <s v="Plantes aromatiques et médicinales annuelles"/>
    <s v="Piante aromatiche e medicinali annuali"/>
    <m/>
    <m/>
    <n v="0"/>
    <n v="0"/>
    <n v="1"/>
    <s v="Spices"/>
    <x v="26"/>
    <s v="Annual Horticulture"/>
    <s v="Arable Land"/>
    <x v="0"/>
    <n v="127.8937642857143"/>
  </r>
  <r>
    <n v="554"/>
    <s v="Einjährige gärtnerische Freilandkulturen (Blumen, Rollrasen usw.)"/>
    <s v="Annual open-field horticultural crops (flowers, turf, etc.)"/>
    <s v="Cultures horticoles annuelles de plein champ (fleurs, gazon en rouleaux, etc.)"/>
    <s v="Floricoltura di pieno campo annuale (fiori, manto erboso in rotoli, ecc.)"/>
    <m/>
    <m/>
    <n v="0"/>
    <n v="0"/>
    <n v="0"/>
    <s v="Horticulture"/>
    <x v="26"/>
    <s v="Annual Horticulture"/>
    <s v="Arable Land"/>
    <x v="0"/>
    <n v="279.37738714285717"/>
  </r>
  <r>
    <n v="555"/>
    <s v="Ackerschonstreifen"/>
    <s v="Wildflower strips"/>
    <s v="Bande culturale extensive"/>
    <s v="Fasce di colture estensive in campicoltura"/>
    <m/>
    <n v="2022"/>
    <n v="0"/>
    <n v="1"/>
    <n v="0"/>
    <s v="Fallow"/>
    <x v="31"/>
    <s v="Temporary Grassland"/>
    <s v="Arable Land"/>
    <x v="0"/>
    <n v="390.91516493280773"/>
  </r>
  <r>
    <n v="556"/>
    <s v="Buntbrache"/>
    <s v="Flowering fallow"/>
    <s v="Jachère florale"/>
    <s v="Maggese fioriti"/>
    <m/>
    <m/>
    <n v="0"/>
    <n v="1"/>
    <n v="0"/>
    <s v="Fallow"/>
    <x v="31"/>
    <s v="Temporary Grassland"/>
    <s v="Arable Land"/>
    <x v="0"/>
    <n v="2702.1892226453219"/>
  </r>
  <r>
    <n v="557"/>
    <s v="Rotationsbrache"/>
    <s v="Rotational fallow"/>
    <s v="Jachère tournante"/>
    <s v="Maggese da rotazione"/>
    <m/>
    <m/>
    <n v="0"/>
    <n v="1"/>
    <n v="0"/>
    <s v="Fallow"/>
    <x v="31"/>
    <s v="Temporary Grassland"/>
    <s v="Arable Land"/>
    <x v="0"/>
    <n v="784.63922767142788"/>
  </r>
  <r>
    <n v="559"/>
    <s v="Saum auf Ackerflächen"/>
    <s v="Improved (species-rich) field margins on arable land"/>
    <s v="Ourlet sur terres assolées"/>
    <s v="Striscia su superficie coltiva"/>
    <m/>
    <m/>
    <n v="0"/>
    <n v="1"/>
    <n v="0"/>
    <s v="Fallow"/>
    <x v="31"/>
    <s v="Temporary Grassland"/>
    <s v="Arable Land"/>
    <x v="0"/>
    <n v="332.78777610358509"/>
  </r>
  <r>
    <n v="566"/>
    <s v="Mohn"/>
    <s v="Poppy"/>
    <s v="Pavot"/>
    <s v="Papavero"/>
    <m/>
    <m/>
    <n v="0"/>
    <n v="0"/>
    <n v="0"/>
    <s v="Poppy"/>
    <x v="19"/>
    <s v="Annual Horticulture"/>
    <s v="Arable Land"/>
    <x v="0"/>
    <n v="13.179071428571429"/>
  </r>
  <r>
    <n v="567"/>
    <s v="Saflor"/>
    <s v="Safflower"/>
    <s v="Carthame"/>
    <s v="Cartamo"/>
    <m/>
    <m/>
    <n v="0"/>
    <n v="0"/>
    <n v="0"/>
    <s v="Safflower"/>
    <x v="18"/>
    <s v="Oilseeds"/>
    <s v="Arable Land"/>
    <x v="0"/>
    <n v="2.4839571428571428"/>
  </r>
  <r>
    <n v="568"/>
    <s v="Linsen"/>
    <s v="Lentils"/>
    <s v="Lentilles"/>
    <s v="Lenticchie"/>
    <m/>
    <m/>
    <n v="0"/>
    <n v="0"/>
    <n v="0"/>
    <s v="Lentils"/>
    <x v="32"/>
    <s v="Pulses"/>
    <s v="Arable Land"/>
    <x v="0"/>
    <n v="137.26094528583272"/>
  </r>
  <r>
    <n v="569"/>
    <s v="Mischungen von Bohnen, Wicken, Erbsen, Kichererbsen und Lupinen mit Getreide oder Leindotter, mindestens 30 % Anteil Leguminosen bei der Ernte (zur Körnergewinnung)"/>
    <s v="Mixtures of beans, vetch, peas, chickpeas, and lupins with cereals or camelina, minimum 30% legumes at harvest (for grain)"/>
    <s v="Méteil de haricots, de vesces, de pois, de pois chiches et de lupins avec des céréales ou de la caméline, au moins 30 % de légumineuses lors de la récolte (pour la production de grains)"/>
    <s v="Miscele di fagioli, vecce, piselli, ceci e lupini con cereali o camelina sativa, almeno il 30% di quota di leguminose nel raccolto (per l’estrazione di granelli)"/>
    <m/>
    <m/>
    <n v="0"/>
    <n v="0"/>
    <n v="0"/>
    <s v="Mixed Legumes"/>
    <x v="33"/>
    <s v="Pulses"/>
    <s v="Arable Land"/>
    <x v="1"/>
    <n v="817.88447543620487"/>
  </r>
  <r>
    <n v="570"/>
    <s v="Mischungen von Linsen mit Getreide oder Leindotter, mindestens 30 % Anteil Linsen bei der Ernte (zur Körnergewinnung)"/>
    <s v="Mixtures of lentils with cereals or camelina, minimum 30% lentils at harvest (for grain)"/>
    <s v="Méteil de lentilles avec des céréales ou de la caméline, au moins 30 % de lentilles lors de la récolte (pour la production de grains)"/>
    <s v="Miscele di lenticchie con cereali o camelina sativa, almeno il 30% di quota di lenticchie nel raccolto (per l’estrazione di granelli)"/>
    <n v="2023"/>
    <m/>
    <n v="0"/>
    <n v="0"/>
    <n v="0"/>
    <s v="Mixed Legumes"/>
    <x v="33"/>
    <s v="Pulses"/>
    <s v="Arable Land"/>
    <x v="1"/>
    <n v="64.868166666666667"/>
  </r>
  <r>
    <n v="572"/>
    <s v="Nützlingsstreifen auf offener Ackerfläche"/>
    <s v="Conservation headlands on open arable land"/>
    <s v="avec des céréales ou de la caméline, au moins 30 % de lentilles lors de la récolte (pour la production de grains)"/>
    <s v="Strisce per organismi utili sulla superficie coltiva aperta"/>
    <m/>
    <m/>
    <n v="0"/>
    <n v="0"/>
    <n v="0"/>
    <s v="Fallow"/>
    <x v="31"/>
    <s v="Temporary Grassland"/>
    <s v="Arable Land"/>
    <x v="0"/>
    <n v="259.18774399517821"/>
  </r>
  <r>
    <n v="573"/>
    <s v="Senf"/>
    <s v="Mustard"/>
    <s v="Moutarde"/>
    <s v="Senape"/>
    <m/>
    <m/>
    <n v="0"/>
    <n v="0"/>
    <n v="0"/>
    <s v="Mustard"/>
    <x v="18"/>
    <s v="Oilseeds"/>
    <s v="Arable Land"/>
    <x v="0"/>
    <n v="50.364582142857145"/>
  </r>
  <r>
    <n v="574"/>
    <s v="Quinoa"/>
    <s v="Quinoa"/>
    <s v="Quinoa"/>
    <s v="Quinoa"/>
    <m/>
    <m/>
    <n v="0"/>
    <n v="0"/>
    <n v="0"/>
    <s v="Quinoa"/>
    <x v="26"/>
    <s v="Annual Horticulture"/>
    <s v="Arable Land"/>
    <x v="0"/>
    <n v="23.678292857142857"/>
  </r>
  <r>
    <n v="575"/>
    <s v="Hanf zur Nutzung der Samen"/>
    <s v="Hemp for seed use"/>
    <s v="Chanvre pour l’utilisation des graines"/>
    <s v="Canapa per i semi"/>
    <n v="2022"/>
    <m/>
    <n v="0"/>
    <n v="0"/>
    <n v="0"/>
    <s v="Hemp"/>
    <x v="19"/>
    <s v="Annual Horticulture"/>
    <s v="Arable Land"/>
    <x v="0"/>
    <n v="42.318087499999997"/>
  </r>
  <r>
    <n v="576"/>
    <s v="Hanf zur Fasernutzung"/>
    <s v="Hemp for fiber use"/>
    <s v="Chanvre pour l’utilisation des fibres"/>
    <s v="Canapa da fibra"/>
    <n v="2022"/>
    <m/>
    <n v="0"/>
    <n v="0"/>
    <n v="0"/>
    <s v="Hemp"/>
    <x v="19"/>
    <s v="Annual Horticulture"/>
    <s v="Arable Land"/>
    <x v="0"/>
    <n v="1.6148750000000001"/>
  </r>
  <r>
    <n v="577"/>
    <s v="Anderer Hanf"/>
    <s v="Other hemp"/>
    <s v="Autre chanvre"/>
    <s v="Altra canapa"/>
    <n v="2022"/>
    <m/>
    <n v="0"/>
    <n v="0"/>
    <n v="0"/>
    <s v="Hemp"/>
    <x v="19"/>
    <s v="Annual Horticulture"/>
    <s v="Arable Land"/>
    <x v="0"/>
    <n v="18.403549999999999"/>
  </r>
  <r>
    <n v="578"/>
    <s v="Hirse zur Körnergewinnung"/>
    <s v="Millet for grain"/>
    <s v="Millet grains"/>
    <s v="Miglio per l’estrazione di gra-nelli"/>
    <n v="2023"/>
    <m/>
    <n v="0"/>
    <n v="0"/>
    <n v="0"/>
    <s v="Millet"/>
    <x v="25"/>
    <s v="Summer Cereals"/>
    <s v="Arable Land"/>
    <x v="0"/>
    <n v="265.81365720083738"/>
  </r>
  <r>
    <n v="579"/>
    <s v="Hirse zur Nutzung ganze Pflanze"/>
    <s v="Millet for whole-plant use"/>
    <s v="Millet plante entière"/>
    <s v="Miglio per la raccolta della pianta intera"/>
    <n v="2023"/>
    <m/>
    <n v="0"/>
    <n v="0"/>
    <n v="0"/>
    <s v="Millet"/>
    <x v="25"/>
    <s v="Summer Cereals"/>
    <s v="Arable Land"/>
    <x v="0"/>
    <n v="9.9090666666666678"/>
  </r>
  <r>
    <n v="580"/>
    <s v="Sorghum zur Körnergewinnung"/>
    <s v="Sorghum for grain"/>
    <s v="Sorgho grains"/>
    <s v="Sorgo per l’estrazione di gra-nelli"/>
    <n v="2023"/>
    <m/>
    <n v="0"/>
    <n v="0"/>
    <n v="0"/>
    <s v="Sorghum"/>
    <x v="28"/>
    <s v="Summer Cereals"/>
    <s v="Arable Land"/>
    <x v="0"/>
    <n v="28.63955"/>
  </r>
  <r>
    <n v="581"/>
    <s v="Sorghum zur Nutzung ganze Pflanze"/>
    <s v="Sorghum for whole-plant use"/>
    <s v="Sorgho plante entière"/>
    <s v="Sorgo per la raccolta della pianta intera"/>
    <n v="2023"/>
    <m/>
    <n v="0"/>
    <n v="0"/>
    <n v="0"/>
    <s v="Sorghum"/>
    <x v="28"/>
    <s v="Summer Cereals"/>
    <s v="Arable Land"/>
    <x v="0"/>
    <n v="338.12133333333333"/>
  </r>
  <r>
    <n v="590"/>
    <s v="Sommerraps als nachwachsender Rohstoff"/>
    <s v="Spring rapeseed as renewable raw material"/>
    <s v="Colza de printemps comme matière première renouvelable"/>
    <s v="Colza primaverile quale materia prima rinnovabile"/>
    <m/>
    <m/>
    <n v="0"/>
    <n v="0"/>
    <n v="0"/>
    <s v="Spring Rapeseed"/>
    <x v="15"/>
    <s v="Oilseeds"/>
    <s v="Arable Land"/>
    <x v="0"/>
    <n v="2.4104874999999999"/>
  </r>
  <r>
    <n v="591"/>
    <s v="Winterraps als nachwachsender Rohstoff"/>
    <s v="Winter rapeseed as renewable raw material"/>
    <s v="Colza d’automne comme matière première renouvelable"/>
    <s v="Colza autunnale quale materia prima rinnovabile"/>
    <m/>
    <m/>
    <n v="0"/>
    <n v="0"/>
    <n v="0"/>
    <s v="Winter Rapeseed"/>
    <x v="15"/>
    <s v="Oilseeds"/>
    <s v="Arable Land"/>
    <x v="0"/>
    <n v="105.79987142857144"/>
  </r>
  <r>
    <n v="592"/>
    <s v="Sonnenblumen als nachwachsender Rohstoff"/>
    <s v="Sunflower as renewable raw material"/>
    <s v="Tournesol comme matière première renouvelable"/>
    <s v="Girasole quale materia prima rinnovabile"/>
    <m/>
    <m/>
    <n v="0"/>
    <n v="0"/>
    <n v="0"/>
    <s v="Sunflower"/>
    <x v="17"/>
    <s v="Oilseeds"/>
    <s v="Arable Land"/>
    <x v="0"/>
    <n v="31.498671428571427"/>
  </r>
  <r>
    <n v="594"/>
    <s v="Offene Ackerfläche, beitragsberechtigt (regionsspezifische Biodiversitätsförderfläche)"/>
    <s v="Eligible open arable land (region-specific biodiversity promotion)"/>
    <s v="Terres ouvertes donnant droit aux contributions (surfaces de promotion de la biodiversité spécifiques à la région)"/>
    <s v="Superficie coltiva aperta, avente diritto ai contributi (superfici per la promozione della biodiversità specifiche di una regione)"/>
    <m/>
    <m/>
    <n v="0"/>
    <n v="1"/>
    <n v="0"/>
    <s v="Fallow"/>
    <x v="31"/>
    <s v="Temporary Grassland"/>
    <s v="Arable Land"/>
    <x v="0"/>
    <n v="22.34327857142857"/>
  </r>
  <r>
    <n v="595"/>
    <s v="Übrige offene Ackerfläche, nicht beitragsberechtigt (regionsspezifische Biodiversitätsförderfläche)"/>
    <s v="Other open arable land, not eligible"/>
    <s v="Autres terres ouvertes ne donnant pas droit aux contributions (surfaces de promotion de la biodiversité spécifiques à la région)"/>
    <s v="Altra superficie coltiva aperta, non avente diritto ai contributi (superfici per la promozione della biodiversità specifiche di una regione)"/>
    <m/>
    <m/>
    <n v="0"/>
    <n v="1"/>
    <n v="0"/>
    <s v="Fallow"/>
    <x v="31"/>
    <s v="Temporary Grassland"/>
    <s v="Arable Land"/>
    <x v="0"/>
    <n v="68.491832796780685"/>
  </r>
  <r>
    <n v="597"/>
    <s v="Übrige offene Ackerfläche, beitragsberechtigt"/>
    <s v="Other open arable land, eligible"/>
    <s v="Autres terres ouvertes avec contributions"/>
    <s v="Altra superficie coltiva aperta, con contributi"/>
    <m/>
    <m/>
    <n v="0"/>
    <n v="0"/>
    <n v="0"/>
    <s v="Fallow"/>
    <x v="31"/>
    <s v="Temporary Grassland"/>
    <s v="Arable Land"/>
    <x v="0"/>
    <n v="338.16061480616185"/>
  </r>
  <r>
    <n v="598"/>
    <s v="Übrige offene Ackerfläche, nicht beitragsberechtigt"/>
    <s v="Other open arable land, not eligible"/>
    <s v="Autres terres ouvertes sans contributions"/>
    <s v="Altra superficie coltiva aperta, senza contributi"/>
    <m/>
    <m/>
    <n v="0"/>
    <n v="0"/>
    <n v="0"/>
    <s v="Fallow"/>
    <x v="31"/>
    <s v="Temporary Grassland"/>
    <s v="Arable Land"/>
    <x v="0"/>
    <n v="229.68000773748844"/>
  </r>
  <r>
    <n v="601"/>
    <s v="Kunstwiesen (ohne Weiden)"/>
    <s v="Artificial grasslands (excluding pastures)"/>
    <s v="Prairies artificielles (sans les pâturages)"/>
    <s v="Prati artificiali (senza pascoli)"/>
    <m/>
    <m/>
    <n v="0"/>
    <n v="0"/>
    <n v="0"/>
    <s v="Ley"/>
    <x v="34"/>
    <s v="Temporary Grassland"/>
    <s v="Arable Land"/>
    <x v="0"/>
    <n v="104713.85183571752"/>
  </r>
  <r>
    <n v="602"/>
    <s v="Übrige Kunstwiese, beitragsberechtigt (z.B. Schweineweide, Geflügelweide)"/>
    <s v="Other artificial grasslands, eligible for contributions (e.g. pig and poultry pastures)"/>
    <s v="Autres prairies artificielles donnant droit aux contributions (p.ex. pâturages pour porcs et volaille)"/>
    <s v="Altri prati artificiali avente diritto ai contributi (p.es. pascoli riservati ai suini e al pollame)"/>
    <m/>
    <m/>
    <n v="0"/>
    <n v="0"/>
    <n v="0"/>
    <s v="Ley"/>
    <x v="34"/>
    <s v="Temporary Grassland"/>
    <s v="Arable Land"/>
    <x v="0"/>
    <n v="540.25064411424466"/>
  </r>
  <r>
    <n v="611"/>
    <s v="Extensiv genutzte Wiesen (ohne Weiden)"/>
    <s v="Extensively managed meadows (excluding pastures)"/>
    <s v="Prairies extensives (sans les pâturages)"/>
    <s v="Prati estensivi (senza pascoli)"/>
    <m/>
    <m/>
    <n v="0"/>
    <n v="1"/>
    <n v="0"/>
    <s v="Extensive Meadow"/>
    <x v="35"/>
    <s v="Meadow"/>
    <s v="Grassland"/>
    <x v="0"/>
    <n v="84051.032464535136"/>
  </r>
  <r>
    <n v="612"/>
    <s v="Wenig intensiv genutzte Wiesen (ohne Weiden)"/>
    <s v="Low-intensity managed meadows (excluding pastures)"/>
    <s v="Prairies peu intensives (sans les pâturages)"/>
    <s v="Prati poco intensivi (senza pascoli)"/>
    <m/>
    <m/>
    <n v="0"/>
    <n v="1"/>
    <n v="0"/>
    <s v="Less Intensive Meadow"/>
    <x v="36"/>
    <s v="Meadow"/>
    <s v="Grassland"/>
    <x v="0"/>
    <n v="14028.378388133464"/>
  </r>
  <r>
    <n v="613"/>
    <s v="Übrige Dauerwiesen (ohne Weiden)"/>
    <s v="Other permanent meadows (excluding pastures)"/>
    <s v="Autres prairies permanentes (sans les pâturages)"/>
    <s v="Altri prati perenni (senza pascoli)"/>
    <m/>
    <m/>
    <n v="0"/>
    <n v="0"/>
    <n v="0"/>
    <s v="Intensive Meadow"/>
    <x v="37"/>
    <s v="Meadow"/>
    <s v="Grassland"/>
    <x v="0"/>
    <n v="342217.73703514365"/>
  </r>
  <r>
    <n v="616"/>
    <s v="Weiden (Heimweiden, übrige Weiden ohne Sömmerungsweiden)"/>
    <s v="Pastures (farm pastures, other pastures excluding summer pastures)"/>
    <s v="Pâturages (pâturages attenants à la ferme, autres pâturages sauf les pâturages d’estivage)"/>
    <s v="Pascoli (pascoli propri, altri pascoli senza pascoli d’estivazione)"/>
    <m/>
    <m/>
    <n v="0"/>
    <n v="0"/>
    <n v="0"/>
    <s v="Intensive Pasture"/>
    <x v="38"/>
    <s v="Pasture"/>
    <s v="Grassland"/>
    <x v="0"/>
    <n v="91503.758945230933"/>
  </r>
  <r>
    <n v="617"/>
    <s v="Extensiv genutzte Weiden"/>
    <s v="Extensively managed pastures"/>
    <s v="Pâturages extensifs"/>
    <s v="Pascoli estensivi"/>
    <m/>
    <m/>
    <n v="0"/>
    <n v="1"/>
    <n v="0"/>
    <s v="Extensive Pasture"/>
    <x v="39"/>
    <s v="Pasture"/>
    <s v="Grassland"/>
    <x v="0"/>
    <n v="46759.543370237712"/>
  </r>
  <r>
    <n v="618"/>
    <s v="Waldweiden (ohne bewaldete Fläche)"/>
    <s v="Wooded pastures (excluding forested area)"/>
    <s v="Pâturages boisés (sauf surfaces boisées)"/>
    <s v="Pascoli boschivi (senza i boschi)"/>
    <m/>
    <m/>
    <n v="0"/>
    <n v="1"/>
    <n v="0"/>
    <s v="Forest Pasture"/>
    <x v="40"/>
    <s v="Pasture"/>
    <s v="Grassland"/>
    <x v="0"/>
    <n v="6366.9712172867903"/>
  </r>
  <r>
    <n v="621"/>
    <s v="Heuwiesen im Sömmerungsgebiet, Übrige Wiesen"/>
    <s v="Hay meadows in summer-grazing regions, other meadows"/>
    <s v="Prairies de fauche en région d’estivage, autres"/>
    <s v="Prati da sfalcio nella regione d’estivazione, altri prati"/>
    <m/>
    <m/>
    <n v="0"/>
    <n v="0"/>
    <n v="0"/>
    <s v="Intensive Meadow"/>
    <x v="37"/>
    <s v="Meadow"/>
    <s v="Grassland"/>
    <x v="0"/>
    <n v="905.4028571428571"/>
  </r>
  <r>
    <n v="622"/>
    <s v="Heuwiesen im Sömmerungsgebiet, Typ extensiv genutzte Wiese"/>
    <s v="Hay meadows in summer-grazing regions, extensively managed type"/>
    <s v="Prairies de fauche en région d’estivage, type prairie extensive"/>
    <s v="Prati da sfalcio nella regione d’estivazione, tipo prati sfruttati in modo estensivo"/>
    <m/>
    <m/>
    <n v="0"/>
    <n v="1"/>
    <n v="0"/>
    <s v="Extensive Meadow"/>
    <x v="35"/>
    <s v="Meadow"/>
    <s v="Grassland"/>
    <x v="0"/>
    <n v="978.29802142857147"/>
  </r>
  <r>
    <n v="623"/>
    <s v="Heuwiesen im Sömmerungsgebiet, Typ wenig intensiv genutzte Wiese"/>
    <s v="Hay meadows in summer-grazing regions, low-intensity managed type"/>
    <s v="Prairies de fauche en région d’estivage, type prairie peu intensive"/>
    <s v="Prati da sfalcio nella regione d’estivazione, tipo prati sfruttati in modo poco intensivo"/>
    <m/>
    <m/>
    <n v="0"/>
    <n v="1"/>
    <n v="0"/>
    <s v="Less Intensive Meadow"/>
    <x v="36"/>
    <s v="Meadow"/>
    <s v="Grassland"/>
    <x v="0"/>
    <n v="288.11752857142858"/>
  </r>
  <r>
    <n v="625"/>
    <s v="Waldweiden (ohne bewaldete Fläche)"/>
    <s v="Wooded pastures (excluding forested area)"/>
    <s v="Pâturages boisés (sauf surfaces boisées)"/>
    <s v="Pascoli boschivi (senza i boschi)"/>
    <m/>
    <m/>
    <n v="0"/>
    <n v="0"/>
    <n v="0"/>
    <s v="Forest Pasture"/>
    <x v="40"/>
    <s v="Pasture"/>
    <s v="Grassland"/>
    <x v="0"/>
    <n v="3023.2251895531895"/>
  </r>
  <r>
    <n v="631"/>
    <s v="Futterleguminosen für die Samenproduktion (Vertragsanbau)"/>
    <s v="Forage legumes for seed production (contract farming)"/>
    <s v="Légumineuses fourragères destinées à la production de semences (contrat de culture)"/>
    <s v="Leguminose da foraggio per la produzione di sementi (coltivazione contrattuale)"/>
    <m/>
    <m/>
    <n v="0"/>
    <n v="0"/>
    <n v="0"/>
    <s v="Ley"/>
    <x v="34"/>
    <s v="Temporary Grassland"/>
    <s v="Arable Land"/>
    <x v="0"/>
    <n v="274.78955928571423"/>
  </r>
  <r>
    <n v="632"/>
    <s v="Futtergräser für die Samenproduktion (Vertragsanbau)"/>
    <s v="Forage grasses for seed production (contract farming)"/>
    <s v="Graminées fourragères destinées à la production de semences (contrat de culture)"/>
    <s v="Graminacee da foraggio per la produzione di sementi (coltivazione contrattuale)"/>
    <m/>
    <m/>
    <n v="0"/>
    <n v="0"/>
    <n v="0"/>
    <s v="Ley"/>
    <x v="34"/>
    <s v="Temporary Grassland"/>
    <s v="Arable Land"/>
    <x v="0"/>
    <n v="170.16036023221636"/>
  </r>
  <r>
    <n v="634"/>
    <s v="Uferwiesen entlang von Fliessgewässern (ohne Weiden)"/>
    <s v="Riparian meadows along flowing waters (excluding pastures)"/>
    <s v="Prairies riveraines d’un cours d’eau (sauf les pâturages)"/>
    <s v="Prati rivieraschi lungo i corsi d'acqua (senza pascoli)"/>
    <m/>
    <n v="2022"/>
    <n v="0"/>
    <n v="1"/>
    <n v="0"/>
    <s v="Extensive Meadow"/>
    <x v="35"/>
    <s v="Meadow"/>
    <s v="Grassland"/>
    <x v="0"/>
    <n v="140.64303487363696"/>
  </r>
  <r>
    <n v="635"/>
    <s v="Uferwiesen (ohne Weiden)"/>
    <s v="Riparian meadows (excluding pastures)"/>
    <s v="Prairies riveraines (sauf les pâturages)"/>
    <s v="Prati rivieraschi (senza pascoli)"/>
    <n v="2023"/>
    <m/>
    <n v="0"/>
    <n v="1"/>
    <n v="0"/>
    <s v="Extensive Meadow"/>
    <x v="35"/>
    <s v="Meadow"/>
    <s v="Grassland"/>
    <x v="0"/>
    <n v="432.90644982097774"/>
  </r>
  <r>
    <n v="650"/>
    <s v="Übrige Dauerwiesen, beitragsberechtigt aggregiert"/>
    <s v="Other permanent meadows, eligible for contributions (aggregated)"/>
    <s v="Autres prairies permanentes, avec contributions, agrégée"/>
    <s v="Altra superficie inerbita, con contributi, aggregata"/>
    <m/>
    <n v="2022"/>
    <n v="0"/>
    <n v="0"/>
    <n v="0"/>
    <m/>
    <x v="29"/>
    <m/>
    <m/>
    <x v="1"/>
    <n v="0"/>
  </r>
  <r>
    <n v="660"/>
    <s v="Übrige Dauerweiden, beitragsberechtigt aggregiert"/>
    <s v="Other permanent pastures, eligible for contributions (aggregated)"/>
    <s v="Autres pâturages permanentes, avec contributions, agrégée"/>
    <s v="Altri pascoli perenni, con contributi, aggregata"/>
    <m/>
    <n v="2022"/>
    <n v="0"/>
    <n v="0"/>
    <n v="0"/>
    <s v="Intensive Pasture"/>
    <x v="38"/>
    <s v="Pasture"/>
    <s v="Grassland"/>
    <x v="0"/>
    <n v="0.16105714285714287"/>
  </r>
  <r>
    <n v="693"/>
    <s v="Regionsspezifische Biodiversitätsförderflächen (Weiden)"/>
    <s v="Region-specific biodiversity promotion areas (pastures)"/>
    <s v="Surfaces de promotion de la biodiversité spécifiques à la région (pâturages)"/>
    <s v="Superfici per la promozione della biodiversità specifiche di una regione (pascoli)"/>
    <m/>
    <m/>
    <n v="0"/>
    <n v="1"/>
    <n v="0"/>
    <s v="Extensive Pasture"/>
    <x v="39"/>
    <s v="Pasture"/>
    <s v="Grassland"/>
    <x v="0"/>
    <n v="39.68185714285714"/>
  </r>
  <r>
    <n v="694"/>
    <s v="Regionsspezifische Biodiversitätsförderfläche (Grünflächen ohne Weiden)"/>
    <s v="Region-specific biodiversity promotion areas (grasslands excluding pastures)"/>
    <s v="Surfaces de promotion de la biodiversité spécifiques à la région (Surface herbagère, sauf les pâturages)"/>
    <s v="Superfici per la promozione della biodiversità specifiche di una regione (superfici inerbite, senza pascoli)"/>
    <m/>
    <m/>
    <n v="0"/>
    <n v="1"/>
    <n v="0"/>
    <s v="Extensive Meadow"/>
    <x v="35"/>
    <s v="Meadow"/>
    <s v="Grassland"/>
    <x v="0"/>
    <n v="2941.1531020254765"/>
  </r>
  <r>
    <n v="697"/>
    <s v="Übrige Grünfläche (Dauergrünfläche), beitragsberechtigt"/>
    <s v="Other grassland (permanent grassland), eligible for contributions"/>
    <s v="Autres surfaces herbagères (surface herbagère permanente) avec contributions"/>
    <s v="Altre superfici (permanentemente) inerbite, con contributi"/>
    <m/>
    <m/>
    <n v="0"/>
    <n v="0"/>
    <n v="0"/>
    <s v="Intensive Meadow"/>
    <x v="37"/>
    <s v="Meadow"/>
    <s v="Grassland"/>
    <x v="0"/>
    <n v="258.88081789148288"/>
  </r>
  <r>
    <n v="698"/>
    <s v="Übrige Grünfläche (Dauergrünflächen), nicht beitragsberechtigt"/>
    <s v="Other grassland (permanent grassland), not eligible for contributions"/>
    <s v="Autres surfaces herbagères (surface herbagère permanente) sans contributions"/>
    <s v="Altre superfici (permanentemente) inerbite, senza contributi"/>
    <m/>
    <m/>
    <n v="0"/>
    <n v="0"/>
    <n v="0"/>
    <s v="Intensive Meadow"/>
    <x v="37"/>
    <s v="Meadow"/>
    <s v="Grassland"/>
    <x v="0"/>
    <n v="644.11448429844836"/>
  </r>
  <r>
    <n v="701"/>
    <s v="Reben"/>
    <s v="Vineyards"/>
    <s v="Vignes"/>
    <s v="Vigna"/>
    <m/>
    <m/>
    <n v="0"/>
    <n v="0"/>
    <n v="1"/>
    <s v="Vines"/>
    <x v="41"/>
    <s v="Orchard"/>
    <s v="Permanent"/>
    <x v="0"/>
    <n v="7885.3971952557295"/>
  </r>
  <r>
    <n v="702"/>
    <s v="Obstanlagen (Äpfel)"/>
    <s v="Fruit orchards (apples)"/>
    <s v="Cultures fruitières (pommes)"/>
    <s v="Frutteto (mele)"/>
    <m/>
    <m/>
    <n v="0"/>
    <n v="0"/>
    <n v="1"/>
    <s v="Apples"/>
    <x v="42"/>
    <s v="Orchard"/>
    <s v="Permanent"/>
    <x v="0"/>
    <n v="3724.4957920731567"/>
  </r>
  <r>
    <n v="703"/>
    <s v="Obstanlagen (Birnen)"/>
    <s v="Fruit orchards (pears)"/>
    <s v="Cultures fruitières (poires)"/>
    <s v="Frutteto (pere)"/>
    <m/>
    <m/>
    <n v="0"/>
    <n v="0"/>
    <n v="1"/>
    <s v="Pears"/>
    <x v="42"/>
    <s v="Orchard"/>
    <s v="Permanent"/>
    <x v="0"/>
    <n v="719.9364198236982"/>
  </r>
  <r>
    <n v="704"/>
    <s v="Obstanlagen (Steinobst)"/>
    <s v="Fruit orchards (stone fruits)"/>
    <s v="Cultures fruitières (fruits à noyau)"/>
    <s v="Frutteto (frutta a nocciolo)"/>
    <m/>
    <m/>
    <n v="0"/>
    <n v="0"/>
    <n v="1"/>
    <s v="Stone Fruit"/>
    <x v="42"/>
    <s v="Orchard"/>
    <s v="Permanent"/>
    <x v="0"/>
    <n v="1580.3258393863066"/>
  </r>
  <r>
    <n v="705"/>
    <s v="Mehrjährige Beeren"/>
    <s v="Perennial berries"/>
    <s v="Baies pluriannuelles"/>
    <s v="Bacche pluriennali"/>
    <m/>
    <m/>
    <n v="0"/>
    <n v="0"/>
    <n v="1"/>
    <s v="Perennial Berries"/>
    <x v="43"/>
    <s v="Perennial Horticulture"/>
    <s v="Permanent"/>
    <x v="0"/>
    <n v="587.84841504868666"/>
  </r>
  <r>
    <n v="706"/>
    <s v="Mehrjährige Gewürz- und Medizinalpflanzen"/>
    <s v="Perennial spice and medicinal plants"/>
    <s v="Plantes aromatiques et plantes médicinales pluriannuelles"/>
    <s v="Piante aromatiche e medicinali pluriennali"/>
    <m/>
    <m/>
    <n v="0"/>
    <n v="0"/>
    <n v="1"/>
    <s v="Perennial Spices"/>
    <x v="44"/>
    <s v="Perennial Horticulture"/>
    <s v="Permanent"/>
    <x v="0"/>
    <n v="201.99794814810815"/>
  </r>
  <r>
    <n v="707"/>
    <s v="Mehrjährige nachwachsende Rohstoffe (Chinaschilf, usw.)"/>
    <s v="Perennial renewable raw materials (e.g. miscanthus)"/>
    <s v="Matières premières renouvelables pluriannuelles (roseau de Chine, etc.)"/>
    <s v="Materie prime rinnovabili pluriennali (Miscanthus sin. ecc.)"/>
    <m/>
    <m/>
    <n v="0"/>
    <n v="0"/>
    <n v="0"/>
    <s v="Perennial Special Crops"/>
    <x v="45"/>
    <s v="Perennial Horticulture"/>
    <s v="Permanent"/>
    <x v="0"/>
    <n v="67.779301560828657"/>
  </r>
  <r>
    <n v="708"/>
    <s v="Hopfen"/>
    <s v="Hops"/>
    <s v="Houblon"/>
    <s v="Luppolo"/>
    <m/>
    <m/>
    <n v="0"/>
    <n v="0"/>
    <n v="1"/>
    <s v="Hops"/>
    <x v="45"/>
    <s v="Perennial Horticulture"/>
    <s v="Permanent"/>
    <x v="0"/>
    <n v="19.695412124199326"/>
  </r>
  <r>
    <n v="709"/>
    <s v="Rhabarber"/>
    <s v="Rhubarb"/>
    <s v="Rhubarbe"/>
    <s v="Rabarbaro"/>
    <m/>
    <m/>
    <n v="0"/>
    <n v="0"/>
    <n v="1"/>
    <s v="Rhubarb"/>
    <x v="46"/>
    <s v="Perennial Horticulture"/>
    <s v="Permanent"/>
    <x v="0"/>
    <n v="105.85184181478138"/>
  </r>
  <r>
    <n v="710"/>
    <s v="Spargel"/>
    <s v="Asparagus"/>
    <s v="Asperges"/>
    <s v="Asparagi"/>
    <m/>
    <m/>
    <n v="0"/>
    <n v="0"/>
    <n v="1"/>
    <s v="Asparagus"/>
    <x v="46"/>
    <s v="Perennial Horticulture"/>
    <s v="Permanent"/>
    <x v="0"/>
    <n v="448.53587961961534"/>
  </r>
  <r>
    <n v="711"/>
    <s v="Pilze (Freiland)"/>
    <s v="Mushrooms (open field)"/>
    <s v="Champignons en pleine terre"/>
    <s v="Funghi (in pieno campo)"/>
    <m/>
    <m/>
    <n v="0"/>
    <n v="0"/>
    <n v="1"/>
    <m/>
    <x v="29"/>
    <m/>
    <m/>
    <x v="1"/>
    <n v="0.26866428571428574"/>
  </r>
  <r>
    <n v="712"/>
    <s v="Christbäume"/>
    <s v="Christmas trees"/>
    <s v="Sapins de Noël"/>
    <s v="Alberelli di Natale"/>
    <m/>
    <m/>
    <n v="0"/>
    <n v="0"/>
    <n v="0"/>
    <s v="Christmas Trees"/>
    <x v="47"/>
    <s v="Forest"/>
    <s v="Forest"/>
    <x v="0"/>
    <n v="659.38288226136331"/>
  </r>
  <r>
    <n v="713"/>
    <s v="Baumschule von Forstpflanzen ausserhalb der Forstzone"/>
    <s v="Forest plant nurseries outside forest zones"/>
    <s v="Pépinières de plantes forestières hors zone forestière"/>
    <s v="Vivai forestali fuori delle zone forestali"/>
    <m/>
    <m/>
    <n v="0"/>
    <n v="0"/>
    <n v="0"/>
    <s v="Nursery"/>
    <x v="48"/>
    <s v="Nursery"/>
    <s v="Permanent"/>
    <x v="1"/>
    <n v="64.273642857142846"/>
  </r>
  <r>
    <n v="714"/>
    <s v="Ziersträucher, Ziergehölze und Zierstauden"/>
    <s v="Ornamental shrubs, woody ornamentals and perennials"/>
    <s v="Buissons, arbrisseaux et arbustes ornementaux"/>
    <s v="Arbusti, arboscelli, cespugli ornamentali"/>
    <m/>
    <m/>
    <n v="0"/>
    <n v="0"/>
    <n v="0"/>
    <m/>
    <x v="29"/>
    <m/>
    <m/>
    <x v="1"/>
    <n v="148.12741428571431"/>
  </r>
  <r>
    <n v="715"/>
    <s v="Übrige Baumschulen (Rosen, Früchte, usw.)"/>
    <s v="Other nurseries (roses, fruit trees, etc.)"/>
    <s v="Autres pépinières (roses, fruits, etc.)"/>
    <s v="Altri vivai (rose, frutta, ecc.)"/>
    <m/>
    <n v="2022"/>
    <n v="0"/>
    <n v="0"/>
    <n v="0"/>
    <s v="Nursery"/>
    <x v="48"/>
    <s v="Nursery"/>
    <s v="Permanent"/>
    <x v="1"/>
    <n v="403.44713950635224"/>
  </r>
  <r>
    <n v="717"/>
    <s v="Rebflächen mit natürlicher Artenvielfalt"/>
    <s v="Vineyard areas with natural biodiversity"/>
    <s v="Surfaces viticoles présentant une biodiversité naturelle"/>
    <s v="Vigneti con biodiversità naturale"/>
    <m/>
    <m/>
    <n v="0"/>
    <n v="1"/>
    <n v="1"/>
    <s v="Vines"/>
    <x v="41"/>
    <s v="Orchard"/>
    <s v="Permanent"/>
    <x v="0"/>
    <n v="4031.8841535003698"/>
  </r>
  <r>
    <n v="718"/>
    <s v="Trüffelanlagen"/>
    <s v="Truffle plantations"/>
    <s v="Truffières"/>
    <s v="Tartufaie"/>
    <m/>
    <m/>
    <n v="0"/>
    <n v="0"/>
    <n v="0"/>
    <m/>
    <x v="29"/>
    <m/>
    <m/>
    <x v="1"/>
    <n v="38.679935714285719"/>
  </r>
  <r>
    <n v="719"/>
    <s v="Maulbeerbaumanlagen (Fütterung Seidenraupen)"/>
    <s v="Mulberry plantations (feeding silkworms)"/>
    <s v="Cultures de mûriers (alimentation des vers à soie)"/>
    <s v="Coltivazioni di gelsi (foraggiamento dei bachi da seta)"/>
    <m/>
    <m/>
    <n v="0"/>
    <n v="0"/>
    <n v="0"/>
    <m/>
    <x v="29"/>
    <m/>
    <m/>
    <x v="1"/>
    <n v="0.96521298701299652"/>
  </r>
  <r>
    <n v="720"/>
    <s v="Gepflegte Selven (Edelkastanienbäume)"/>
    <s v="Managed chestnut groves"/>
    <s v="Châtaigneraies entretenues (surface)"/>
    <s v="Selve curate (castagni)"/>
    <m/>
    <m/>
    <n v="0"/>
    <n v="0"/>
    <n v="0"/>
    <s v="Chestnut"/>
    <x v="47"/>
    <s v="Forest"/>
    <s v="Forest"/>
    <x v="0"/>
    <n v="366.96475306122454"/>
  </r>
  <r>
    <n v="721"/>
    <s v="Mehrjährige gärtnerische Freilandkulturen (nicht im Gewächshaus)"/>
    <s v="Perennial open-field horticultural crops (not in greenhouses)"/>
    <s v="Cultures horticoles pluriannuelles de plein air (pas en serres)"/>
    <s v="Floricoltura di pieno campo pluriennale (non in serra)"/>
    <m/>
    <m/>
    <n v="0"/>
    <n v="0"/>
    <n v="0"/>
    <s v="Perennial Special Crops"/>
    <x v="45"/>
    <s v="Perennial Horticulture"/>
    <s v="Permanent"/>
    <x v="0"/>
    <n v="15.293807527151195"/>
  </r>
  <r>
    <n v="722"/>
    <s v="Baumschulen von Reben"/>
    <s v="Vine nurseries"/>
    <s v="Pépinières viticoles"/>
    <s v="Vivai viticoli"/>
    <m/>
    <m/>
    <n v="0"/>
    <n v="0"/>
    <n v="0"/>
    <s v="Nursery"/>
    <x v="48"/>
    <s v="Nursery"/>
    <s v="Permanent"/>
    <x v="1"/>
    <n v="24.959292857142859"/>
  </r>
  <r>
    <n v="723"/>
    <s v="Baumschulen von Obst und Beeren"/>
    <s v="Fruit and berry tree nurseries"/>
    <s v="Pépinière de fruits et de baies"/>
    <s v="Vivaio di alberi da frutto e bacche"/>
    <n v="2023"/>
    <m/>
    <n v="0"/>
    <n v="0"/>
    <n v="0"/>
    <s v="Nursery"/>
    <x v="48"/>
    <s v="Nursery"/>
    <s v="Permanent"/>
    <x v="1"/>
    <n v="109.44606809747343"/>
  </r>
  <r>
    <n v="724"/>
    <s v="Übrige Baumschulen (Rosen, Zierstauden, usw.)"/>
    <s v="Other nurseries (roses, ornamental shrubs, etc.)"/>
    <s v="Autres pépinières (rosiers, plantes ornementales, etc.)"/>
    <s v="Altri vivai (rose, arbusti ornamentali, ecc.)"/>
    <n v="2023"/>
    <m/>
    <n v="0"/>
    <n v="0"/>
    <n v="0"/>
    <s v="Nursery"/>
    <x v="48"/>
    <s v="Nursery"/>
    <s v="Permanent"/>
    <x v="1"/>
    <n v="219.86875739887361"/>
  </r>
  <r>
    <n v="725"/>
    <s v="Permakultur"/>
    <s v="Permaculture"/>
    <s v="Permaculture"/>
    <s v="Permacultura"/>
    <m/>
    <m/>
    <n v="0"/>
    <n v="0"/>
    <n v="1"/>
    <m/>
    <x v="29"/>
    <m/>
    <m/>
    <x v="1"/>
    <n v="96.480297069648927"/>
  </r>
  <r>
    <n v="730"/>
    <s v="Obstanlagen aggregiert"/>
    <s v="Fruit orchards, aggregated"/>
    <s v="Cultures fruitières agrégée"/>
    <s v="Frutteti aggregata"/>
    <m/>
    <m/>
    <n v="0"/>
    <n v="0"/>
    <n v="1"/>
    <s v="Other Tree Crops"/>
    <x v="42"/>
    <s v="Orchard"/>
    <s v="Permanent"/>
    <x v="0"/>
    <n v="71.162714341773736"/>
  </r>
  <r>
    <n v="731"/>
    <s v="Andere Obstanlagen (Kiwis, Holunder usw.)"/>
    <s v="Other fruit orchards (kiwi, elderberry, etc.)"/>
    <s v="Autres cultures fruitières (kiwis, sureau, etc.)"/>
    <s v="Altri frutteti (kiwi, sambuco, ecc.)"/>
    <m/>
    <m/>
    <n v="0"/>
    <n v="0"/>
    <n v="1"/>
    <s v="Other Tree Crops"/>
    <x v="42"/>
    <s v="Orchard"/>
    <s v="Permanent"/>
    <x v="0"/>
    <n v="171.85456626797492"/>
  </r>
  <r>
    <n v="735"/>
    <s v="Reben (regionsspezifische Biodiversitätsförderflächen)"/>
    <s v="Vineyards (region-specific biodiversity promotion areas)"/>
    <s v="Vignes (surfaces de promotion de la biodiversité spécifiques à la ré-gion)"/>
    <s v="Vigna (superfici per la promozione della biodiversità specifiche di una regione)"/>
    <m/>
    <m/>
    <n v="0"/>
    <n v="1"/>
    <n v="1"/>
    <s v="Vines"/>
    <x v="41"/>
    <s v="Orchard"/>
    <s v="Permanent"/>
    <x v="0"/>
    <n v="25.471150000000002"/>
  </r>
  <r>
    <n v="750"/>
    <s v="Übrige Dauerkulturen, beitragsberechtigt, aggregiert"/>
    <s v="Other perennial crops, eligible for contributions (aggregated)"/>
    <s v="Autres surfaces de cultures pérennes, avec contributions, agrégée"/>
    <s v="Altre colture perenni, con contributi, aggregata"/>
    <m/>
    <m/>
    <n v="0"/>
    <n v="0"/>
    <n v="0"/>
    <m/>
    <x v="29"/>
    <m/>
    <m/>
    <x v="1"/>
    <n v="161.9264045059972"/>
  </r>
  <r>
    <n v="760"/>
    <s v="Dauerkulturen, nicht beitragsberechtigt, aggregiert"/>
    <s v="Perennial crops, not eligible for contributions (aggregated)"/>
    <s v="Surfaces de cultures pérennes, sans contributions, agrégée"/>
    <s v="Colture perenni, senza contributi, aggregata"/>
    <m/>
    <n v="2022"/>
    <n v="0"/>
    <n v="0"/>
    <n v="0"/>
    <m/>
    <x v="29"/>
    <m/>
    <m/>
    <x v="1"/>
    <n v="0"/>
  </r>
  <r>
    <n v="797"/>
    <s v="Übrige Flächen mit Dauerkulturen, beitragsberechtigt"/>
    <s v="Other areas with perennial crops, eligible for contributions"/>
    <s v="Autres surfaces de cultures pérennes, avec contributions"/>
    <s v="Altre superfici con colture perenni, con contributi"/>
    <m/>
    <m/>
    <n v="0"/>
    <n v="0"/>
    <n v="0"/>
    <m/>
    <x v="29"/>
    <m/>
    <m/>
    <x v="1"/>
    <n v="49.199183174141851"/>
  </r>
  <r>
    <n v="798"/>
    <s v="Übrige Flächen mit Dauerkulturen, nicht beitragsberechtigt"/>
    <s v="Other areas with perennial crops, not eligible for contributions"/>
    <s v="Autres surfaces de cultures pérennes, sans contributions"/>
    <s v="Altre superfici con colture perenni, senza contributi"/>
    <m/>
    <m/>
    <n v="0"/>
    <n v="0"/>
    <n v="0"/>
    <m/>
    <x v="29"/>
    <m/>
    <m/>
    <x v="1"/>
    <n v="19.582342857142859"/>
  </r>
  <r>
    <n v="801"/>
    <s v="Gemüsekulturen in Gewächshäusern mit festem Fundament"/>
    <s v="Vegetable crops in greenhouses with permanent foundations"/>
    <s v="Cultures maraîchères sous abri avec fondations permanentes"/>
    <s v="Colture orticole in serre con fondamenta fisse"/>
    <m/>
    <m/>
    <n v="0"/>
    <n v="0"/>
    <n v="1"/>
    <s v="Greenhouses"/>
    <x v="49"/>
    <s v="Greenhouses"/>
    <s v="Permanent"/>
    <x v="0"/>
    <n v="203.28376428571428"/>
  </r>
  <r>
    <n v="802"/>
    <s v="Übrige Spezialkulturen in Gewächshäusern mit festem Fundament"/>
    <s v="Other special crops in greenhouses with permanent foundations"/>
    <s v="Autres cultures spéciales sous abri avec fondations permanentes"/>
    <s v="Altre colture speciali in serre con fondamenta fisse"/>
    <m/>
    <m/>
    <n v="0"/>
    <n v="0"/>
    <n v="1"/>
    <s v="Greenhouses"/>
    <x v="49"/>
    <s v="Greenhouses"/>
    <s v="Permanent"/>
    <x v="0"/>
    <n v="25.946994374537301"/>
  </r>
  <r>
    <n v="803"/>
    <s v="Gärtnerische Kulturen in Gewächshäusern mit festem Fundament"/>
    <s v="Horticultural crops in greenhouses with permanent foundations"/>
    <s v="Cultures horticoles sous abri avec fondations permanentes"/>
    <s v="Floricoltura in serre con fondamenta fisse"/>
    <m/>
    <m/>
    <n v="0"/>
    <n v="0"/>
    <n v="0"/>
    <s v="Greenhouses"/>
    <x v="49"/>
    <s v="Greenhouses"/>
    <s v="Permanent"/>
    <x v="0"/>
    <n v="25.562692857142856"/>
  </r>
  <r>
    <n v="804"/>
    <s v="Beerenkulturen in Gewächshäusern mit festem Fundament"/>
    <s v="Berry crops in greenhouses with permanent foundations"/>
    <s v="Cultures des baies sous serres avec fondations permanentes"/>
    <s v="Colture bacche in serra con fondamenta fisse"/>
    <n v="2023"/>
    <m/>
    <n v="0"/>
    <n v="0"/>
    <n v="1"/>
    <s v="Greenhouses"/>
    <x v="49"/>
    <s v="Greenhouses"/>
    <s v="Permanent"/>
    <x v="0"/>
    <n v="2.1191166666666668"/>
  </r>
  <r>
    <n v="806"/>
    <s v="Gemüsekulturen in geschütztem Anbau ohne festes Fundament"/>
    <s v="Vegetable crops in protected cultivation without permanent foundations"/>
    <s v="Cultures maraîchères sous abri sans fondations permanentes"/>
    <s v="Colture orticole in serre senza fondamenta fisse"/>
    <m/>
    <n v="2022"/>
    <n v="0"/>
    <n v="0"/>
    <n v="1"/>
    <s v="Greenhouses"/>
    <x v="49"/>
    <s v="Greenhouses"/>
    <s v="Permanent"/>
    <x v="0"/>
    <n v="203.79461518161781"/>
  </r>
  <r>
    <n v="807"/>
    <s v="Übrige Spezialkulturen in geschütztem Anbau ohne festes Fundament"/>
    <s v="Other special crops in protected cultivation without permanent foundations"/>
    <s v="Autres cultures spéciales sous abri sans fondations permanentes"/>
    <s v="Altre colture speciali in serre senza fondamenta fisse"/>
    <m/>
    <m/>
    <n v="0"/>
    <n v="0"/>
    <n v="1"/>
    <s v="Greenhouses"/>
    <x v="49"/>
    <s v="Greenhouses"/>
    <s v="Permanent"/>
    <x v="0"/>
    <n v="56.074658848559451"/>
  </r>
  <r>
    <n v="808"/>
    <s v="Gärtnerische Kulturen in geschütztem Anbau ohne festes Fundament"/>
    <s v="Horticultural crops in protected cultivation without permanent foundations"/>
    <s v="Cultures horticoles sous abri sans fondations permanentes"/>
    <s v="Floricoltura in serre senza fondamenta fisse"/>
    <m/>
    <m/>
    <n v="0"/>
    <n v="0"/>
    <n v="0"/>
    <s v="Greenhouses"/>
    <x v="49"/>
    <s v="Greenhouses"/>
    <s v="Permanent"/>
    <x v="0"/>
    <n v="26.958665824175831"/>
  </r>
  <r>
    <n v="810"/>
    <s v="Pilze in geschütztem Anbau mit festem Fundament"/>
    <s v="Mushrooms in protected cultivation with permanent foundations"/>
    <s v="Champignons sous abri avec fondations permanentes"/>
    <s v="Funghi coltivati al coperto con fondamenta fisse"/>
    <m/>
    <m/>
    <n v="0"/>
    <n v="0"/>
    <n v="1"/>
    <s v="Greenhouses"/>
    <x v="49"/>
    <s v="Greenhouses"/>
    <s v="Permanent"/>
    <x v="0"/>
    <n v="0.33804285714285714"/>
  </r>
  <r>
    <n v="811"/>
    <s v="Gemüsekulturen in geschütztem Anbau ohne festes Fundament; im gewachsenen Boden"/>
    <s v="Vegetable crops in protected cultivation without permanent foundations, in natural soil"/>
    <s v="Cultures maraîchères sous abri sans fondations permanentes; sur sol naturel"/>
    <s v="Colture orticole coltivate al coperto senza fondamenta fisse; nel terreno naturale"/>
    <n v="2023"/>
    <m/>
    <n v="0"/>
    <n v="0"/>
    <n v="1"/>
    <s v="Greenhouses"/>
    <x v="49"/>
    <s v="Greenhouses"/>
    <s v="Permanent"/>
    <x v="0"/>
    <n v="215.27259789981153"/>
  </r>
  <r>
    <n v="812"/>
    <s v="Gemüsekulturen in geschütztem Anbau ohne festes Fundament; auf Pflanztischen oder -gestellen"/>
    <s v="Vegetable crops in protected cultivation without permanent foundations, on planting tables or racks"/>
    <s v="Cultures maraîchères sous abri sans fondations permanentes; sur des tables de plantation ou des étagères"/>
    <s v="Colture orticole coltivate al coperto senza fondamenta fisse; su tavole di piantagione o rastrelliere"/>
    <n v="2023"/>
    <m/>
    <n v="0"/>
    <n v="0"/>
    <n v="1"/>
    <s v="Greenhouses"/>
    <x v="49"/>
    <s v="Greenhouses"/>
    <s v="Permanent"/>
    <x v="0"/>
    <n v="5.3428166666666668"/>
  </r>
  <r>
    <n v="813"/>
    <s v="Beerenkulturen in geschütztem Anbau ohne festes Fundament; im gewachsenen Boden"/>
    <s v="Berry crops in protected cultivation without permanent foundations, in natural soil"/>
    <s v="Cultures des baies sous abri sans fondations permanentes; sur sol naturel"/>
    <s v="Colture di bacche coltivate al coperto senza fondamenta fisse; nel terreno naturale"/>
    <n v="2023"/>
    <m/>
    <n v="0"/>
    <n v="0"/>
    <n v="1"/>
    <s v="Greenhouses"/>
    <x v="49"/>
    <s v="Greenhouses"/>
    <s v="Permanent"/>
    <x v="0"/>
    <n v="22.983483333333336"/>
  </r>
  <r>
    <n v="814"/>
    <s v="Beerenkulturen in geschütztem Anbau ohne festes Fundament; auf Pflanztischen oder -gestellen"/>
    <s v="Berry crops in protected cultivation without permanent foundations, on planting tables or racks"/>
    <s v="Cultures des baies sous abri sans fondations permanentes; sur des tables de plantation ou  des étagères"/>
    <s v="Colture di bacche coltivate al coperto senza fondamenta fisse; su tavole di piantagione o rastrelliere"/>
    <n v="2023"/>
    <m/>
    <n v="0"/>
    <n v="0"/>
    <n v="1"/>
    <s v="Greenhouses"/>
    <x v="49"/>
    <s v="Greenhouses"/>
    <s v="Permanent"/>
    <x v="0"/>
    <n v="42.190766666666669"/>
  </r>
  <r>
    <n v="830"/>
    <s v="Kulturen in ganzjährig geschütztem Anbau, beitragsberechtigt aggregiert"/>
    <s v="Crops in year-round protected cultivation, eligible for contributions (aggregated)"/>
    <s v="Cultures sous abri sans fondations permanentes, avec contributions, agrégée"/>
    <s v="Superfici con colture protette tutto l’anno, con contributi, aggregata"/>
    <m/>
    <m/>
    <n v="0"/>
    <n v="0"/>
    <n v="0"/>
    <s v="Greenhouses"/>
    <x v="49"/>
    <s v="Greenhouses"/>
    <s v="Permanent"/>
    <x v="0"/>
    <n v="23.37686419828934"/>
  </r>
  <r>
    <n v="840"/>
    <s v="Kulturen in ganzjährig geschütztem Anbau, nicht beitragsberechtigt aggregiert"/>
    <s v="Crops in year-round protected cultivation, not eligible for contributions (aggregated)"/>
    <s v="Cultures sous abri sans fondations permanentes, sans contributions, agrégée"/>
    <s v="Superfici con colture protette tutto l’anno, senza contributi, aggregata"/>
    <m/>
    <n v="2022"/>
    <n v="0"/>
    <n v="0"/>
    <n v="0"/>
    <s v="Greenhouses"/>
    <x v="49"/>
    <s v="Greenhouses"/>
    <s v="Permanent"/>
    <x v="0"/>
    <n v="0"/>
  </r>
  <r>
    <n v="847"/>
    <s v="Übrige Kulturen in geschütztem Anbau ohne festes Fundament, beitragsberechtigt"/>
    <s v="Other crops in protected cultivation without permanent foundations, eligible for contributions"/>
    <s v="Autres cultures sous abri sans fondations permanentes, avec contributions"/>
    <s v="Altre colture coltivate al coperto senza fondamenta fisse, con contributi"/>
    <m/>
    <m/>
    <n v="0"/>
    <n v="0"/>
    <n v="0"/>
    <s v="Greenhouses"/>
    <x v="49"/>
    <s v="Greenhouses"/>
    <s v="Permanent"/>
    <x v="0"/>
    <n v="10.800421428571429"/>
  </r>
  <r>
    <n v="848"/>
    <s v="Übrige Kulturen in geschütztem Anbau mit festem Fundament"/>
    <s v="Other crops in protected cultivation with permanent foundations"/>
    <s v="Autres cultures sous abri avec fondations permanentes"/>
    <s v="Altre colture coltivate al coperto con fondamenta fisse"/>
    <m/>
    <m/>
    <n v="0"/>
    <n v="0"/>
    <n v="0"/>
    <s v="Greenhouses"/>
    <x v="49"/>
    <s v="Greenhouses"/>
    <s v="Permanent"/>
    <x v="0"/>
    <n v="4.9150642857142852"/>
  </r>
  <r>
    <n v="849"/>
    <s v="Übrige Kulturen in geschütztem Anbau ohne festes Fundament, nicht beitragsberechtigt"/>
    <s v="Other crops in protected cultivation without permanent foundations, not eligible for contributions"/>
    <s v="Autres cultures sous abri sans fondations permanentes, sans contributions"/>
    <s v="Altre colture coltivate al coperto senza fondamenta fisse, senza contributi"/>
    <m/>
    <m/>
    <n v="0"/>
    <n v="0"/>
    <n v="0"/>
    <s v="Greenhouses"/>
    <x v="49"/>
    <s v="Greenhouses"/>
    <s v="Permanent"/>
    <x v="0"/>
    <n v="2.8773142857142857"/>
  </r>
  <r>
    <n v="851"/>
    <s v="Streueflächen in der landwirtschaftlichen Nutzfläche"/>
    <s v="Litter areas within agricultural land"/>
    <s v="Surfaces à litière dans la surface agricole utile"/>
    <s v="Terreni da strame all’interno della superficie agricola utilizzata"/>
    <m/>
    <m/>
    <n v="0"/>
    <n v="1"/>
    <n v="0"/>
    <s v="Litter Meadow"/>
    <x v="50"/>
    <s v="Meadow"/>
    <s v="Grassland"/>
    <x v="0"/>
    <n v="8039.3651689782646"/>
  </r>
  <r>
    <n v="852"/>
    <s v="Hecken-, Feld- und Ufergehölze (mit Krautsaum)"/>
    <s v="Hedges, field and riparian woody vegetation (with herbaceous margin)"/>
    <s v="Haies, bosquets champêtres et berges boisées (avec la bande herbeuse)"/>
    <s v="Siepi, boschetti campestri e rivieraschi (con bordo inerbito)"/>
    <m/>
    <m/>
    <n v="0"/>
    <n v="1"/>
    <n v="0"/>
    <s v="Hedges"/>
    <x v="47"/>
    <s v="Forest"/>
    <s v="Forest"/>
    <x v="0"/>
    <n v="4637.1447703173026"/>
  </r>
  <r>
    <n v="857"/>
    <s v="Hecken-, Feld- und Ufergehölze (mit Pufferstreifen)"/>
    <s v="Hedges, field and riparian woody vegetation (with buffer strip)"/>
    <s v="Haies, bosquets champêtres et berges boisées (avec la bande herbeuse)"/>
    <s v="Siepi, boschetti campestri e rivieraschi (con fascia tampone)"/>
    <m/>
    <m/>
    <n v="0"/>
    <n v="0"/>
    <n v="0"/>
    <s v="Hedges"/>
    <x v="47"/>
    <s v="Forest"/>
    <s v="Forest"/>
    <x v="0"/>
    <n v="800.54546441964374"/>
  </r>
  <r>
    <n v="858"/>
    <s v="Hecken-, Feld- und Ufergehölze (mit Pufferstreifen) (regionsspezifische Biodiversitätsförderfläche)"/>
    <s v="Hedges, field and riparian woody vegetation (with buffer strip, region-specific biodiversity promotion area)"/>
    <s v="Haies, bosquets champêtres et berges boisées (avec la bande tampon) (Surfaces de promotion de la biodiversité spécifiques à la région)"/>
    <s v="Siepi, boschetti campestri e rivieraschi (con fascia tampone) (Superfici per la promozione della biodiversità specifiche di una regione)"/>
    <m/>
    <m/>
    <n v="0"/>
    <n v="1"/>
    <n v="0"/>
    <s v="Hedges"/>
    <x v="47"/>
    <s v="Forest"/>
    <s v="Forest"/>
    <x v="0"/>
    <n v="53.465708429630276"/>
  </r>
  <r>
    <n v="897"/>
    <s v="Übrige Flächen innerhalb der landwirtschaftlichen Nutzfläche, beitragsberechtigt"/>
    <s v="Other areas within agricultural land, eligible for contributions"/>
    <s v="Autres surfaces dans la surface agricole utile, avec contributions"/>
    <s v="Altre superfici all’interno della superficie agricola utilizzata, con contributi"/>
    <m/>
    <m/>
    <n v="0"/>
    <n v="0"/>
    <n v="0"/>
    <m/>
    <x v="29"/>
    <m/>
    <m/>
    <x v="1"/>
    <n v="57.882429095080532"/>
  </r>
  <r>
    <n v="898"/>
    <s v="Übrige Flächen innerhalb der landwirtschaftlichen Nutzfläche, nicht beitragsberechtigt"/>
    <s v="Other areas within agricultural land, not eligible for contributions"/>
    <s v="Autres surfaces dans la surface agricole utile, sans contributions"/>
    <s v="Altre superfici all’interno della superficie agricola utilizzata, senza contributi"/>
    <m/>
    <m/>
    <n v="0"/>
    <n v="0"/>
    <n v="0"/>
    <m/>
    <x v="29"/>
    <m/>
    <m/>
    <x v="1"/>
    <n v="971.77443687162759"/>
  </r>
  <r>
    <n v="901"/>
    <s v="Wald"/>
    <s v="Forest"/>
    <s v="Forêt"/>
    <s v="Bosco"/>
    <m/>
    <m/>
    <n v="0"/>
    <n v="0"/>
    <n v="0"/>
    <s v="Forest"/>
    <x v="47"/>
    <s v="Forest"/>
    <s v="Forest"/>
    <x v="0"/>
    <n v="19506.765944770199"/>
  </r>
  <r>
    <n v="902"/>
    <s v="Übrige unproduktive Flächen (z.B. gemulchte Flächen, stark verunkrautete Flächen, Hecken ohne Pufferstreifen)"/>
    <s v="Other unproductive areas (e.g. mulched areas, heavily weed-infested areas, hedges without buffer strips)"/>
    <s v="Surfaces improductives (p. ex. haies sans les bandes tampons, surfaces broyées, surfaces avec un degré élevé de mauvaises herbes)"/>
    <s v="Altre superfici improduttive (p.es. siepi senza fascia tampone, superfici pacciamate, superfici con elevata presenza di malerbe)"/>
    <m/>
    <m/>
    <n v="0"/>
    <n v="0"/>
    <n v="0"/>
    <s v="Unproductive Area"/>
    <x v="51"/>
    <s v="Unproductive Area"/>
    <s v="Unproductive Area"/>
    <x v="1"/>
    <n v="49596.859757746366"/>
  </r>
  <r>
    <n v="903"/>
    <s v="Flächen ohne landwirtschaftliche Hauptzweckbestimmung (erschlossenes Bauland, Spiel-, Reit-, Camping-, Golf-, Flug- und Militärplätze oder ausgemarchte Bereiche von Eisenbahnen, öffentlichen Strassen und Gewässern)"/>
    <s v="Areas without a primary agricultural purpose (developed building land, sports, riding, camping, golf, airfields and military areas, or demarcated areas of railways, public roads and water bodies)"/>
    <s v="Surfaces dont l’affectation principale n’est pas l’exploitation agricole (terrains à bâtir équipés et surfaces comprises dans les terrains de golf et de camping, aérodromes et terrains d’entraînement militaire, surfaces délimitées des bas-côtés des lignes de chemins de fer, de routes publiques, de cours et de plans d’eau)"/>
    <s v="Superfici la cui destinazione principale non è l’utilizzazione agricola (quelle inserite in terreni edificabili urbanizzati, da golf, da equitazione, da campeggio, di aerodromi e d’esercitazione militare o che rientrano nella zona delimitata di ferrovie, strade pubbliche e corsi d’acqua)"/>
    <m/>
    <m/>
    <n v="0"/>
    <n v="0"/>
    <n v="0"/>
    <m/>
    <x v="29"/>
    <m/>
    <m/>
    <x v="1"/>
    <n v="733.20501422410098"/>
  </r>
  <r>
    <n v="904"/>
    <s v="Wassergräben, Tümpel, Teiche"/>
    <s v="Water ditches, ponds and pools"/>
    <s v="Fossés humides, mares, étangs"/>
    <s v="Fossati umidi, stagni, pozze"/>
    <m/>
    <m/>
    <n v="0"/>
    <n v="1"/>
    <n v="0"/>
    <s v="Water"/>
    <x v="52"/>
    <s v="Water"/>
    <s v="Water"/>
    <x v="0"/>
    <n v="177.24271767857144"/>
  </r>
  <r>
    <n v="905"/>
    <s v="Ruderalflächen, Steinhaufen und -wälle"/>
    <s v="Ruderal areas, stone heaps and stone walls"/>
    <s v="Surfaces rudérales, tas d'épierrage et affleurements rocheux"/>
    <s v="Superfici ruderali, cumuli di pietra, affioramenti rocciosi"/>
    <m/>
    <m/>
    <n v="0"/>
    <n v="1"/>
    <n v="0"/>
    <s v="Unproductive Area"/>
    <x v="51"/>
    <s v="Unproductive Area"/>
    <s v="Unproductive Area"/>
    <x v="0"/>
    <n v="51.811886004573068"/>
  </r>
  <r>
    <n v="906"/>
    <s v="Trockenmauern"/>
    <s v="Dry stone walls"/>
    <s v="Murs de pierres sèches"/>
    <s v="Muri a secco"/>
    <m/>
    <m/>
    <n v="0"/>
    <n v="1"/>
    <n v="0"/>
    <s v="Unproductive Area"/>
    <x v="51"/>
    <s v="Unproductive Area"/>
    <s v="Unproductive Area"/>
    <x v="0"/>
    <n v="7.6835319934034123"/>
  </r>
  <r>
    <n v="907"/>
    <s v="Unbefestigte, natürliche Wege"/>
    <s v="Unpaved natural paths"/>
    <s v="Chemins naturels non stabilisés"/>
    <s v="Sentieri e accessi naturali non consolidati"/>
    <m/>
    <m/>
    <n v="0"/>
    <n v="0"/>
    <n v="0"/>
    <s v="Unproductive Area"/>
    <x v="51"/>
    <s v="Unproductive Area"/>
    <s v="Unproductive Area"/>
    <x v="0"/>
    <n v="96.706834158919506"/>
  </r>
  <r>
    <n v="908"/>
    <s v="Regionsspezifische Biodiversitätsförderflächen"/>
    <s v="Region-specific biodiversity promotion areas"/>
    <s v="Surfaces de promotion de la biodiversité spécifiques à la région"/>
    <s v="Superfici per la promozione della biodiversità specifiche di una regione"/>
    <m/>
    <m/>
    <n v="0"/>
    <n v="1"/>
    <n v="0"/>
    <m/>
    <x v="29"/>
    <m/>
    <m/>
    <x v="1"/>
    <n v="95.270678571428562"/>
  </r>
  <r>
    <n v="909"/>
    <s v="Hausgärten"/>
    <s v="Home gardens"/>
    <s v="Jardins potager"/>
    <s v="Giardini e orti domestici"/>
    <m/>
    <m/>
    <n v="0"/>
    <n v="0"/>
    <n v="0"/>
    <s v="Built-up"/>
    <x v="53"/>
    <s v="Built-up"/>
    <s v="Built-up"/>
    <x v="0"/>
    <n v="80.300000650195813"/>
  </r>
  <r>
    <n v="911"/>
    <s v="Landwirtschaftliche Produktion in Gebäuden (z. B. Champignon, Brüsseler)"/>
    <s v="Agricultural production in buildings (e.g. mushrooms, witloof chicory)"/>
    <s v="Production agricole sous abri (par ex. champignons de Paris, chicorée witloof)"/>
    <s v="Produzione agricola in edifici (p.es. funghi, cicoria belga)"/>
    <m/>
    <m/>
    <n v="0"/>
    <n v="0"/>
    <n v="0"/>
    <s v="Built-up"/>
    <x v="53"/>
    <s v="Built-up"/>
    <s v="Built-up"/>
    <x v="0"/>
    <n v="2.09755"/>
  </r>
  <r>
    <n v="921"/>
    <s v="Hochstamm-Feldobstbäume (Punkte oder Flächen)"/>
    <s v="High-stem field fruit trees (points or areas)"/>
    <s v="Arbres fruitiers champêtres haute-tige (points ou surface)"/>
    <s v="Alberi da frutto ad alto fusto nei campi (punti o superfici)"/>
    <m/>
    <m/>
    <n v="1"/>
    <n v="1"/>
    <n v="0"/>
    <m/>
    <x v="29"/>
    <m/>
    <m/>
    <x v="1"/>
    <n v="0"/>
  </r>
  <r>
    <n v="922"/>
    <s v="Nussbäume (Punkte oder Flächen)"/>
    <s v="Nut trees (points or areas)"/>
    <s v="Noyers (points ou surfaces)"/>
    <s v="Noci (Punti o superfici)"/>
    <m/>
    <m/>
    <n v="1"/>
    <n v="1"/>
    <n v="0"/>
    <m/>
    <x v="29"/>
    <m/>
    <m/>
    <x v="1"/>
    <n v="0"/>
  </r>
  <r>
    <n v="923"/>
    <s v="Edelkastanienbäume"/>
    <s v="Sweet chestnut trees"/>
    <s v="Châtaigniers"/>
    <s v="Alberi castagni"/>
    <m/>
    <m/>
    <n v="1"/>
    <n v="1"/>
    <n v="0"/>
    <m/>
    <x v="29"/>
    <m/>
    <m/>
    <x v="1"/>
    <n v="0"/>
  </r>
  <r>
    <n v="924"/>
    <s v="Einheimische standortgerechte Einzelbäume und Alleen (Punkte oder Flächen)"/>
    <s v="Native site-adapted individual trees and tree avenues (points or areas)"/>
    <s v="Arbres isolés indigènes adaptés au site et allées d'arbres (points ou surfaces)"/>
    <s v="Alberi indigeni isolati adatti al luogo e viali alberati (Punti o superfici)"/>
    <m/>
    <m/>
    <n v="1"/>
    <n v="1"/>
    <n v="0"/>
    <m/>
    <x v="29"/>
    <m/>
    <m/>
    <x v="1"/>
    <n v="0"/>
  </r>
  <r>
    <n v="926"/>
    <s v="Andere Bäume"/>
    <s v="Other trees"/>
    <s v="Autres arbres"/>
    <s v="Altri alberi"/>
    <n v="2022"/>
    <m/>
    <n v="1"/>
    <n v="0"/>
    <n v="0"/>
    <m/>
    <x v="29"/>
    <m/>
    <m/>
    <x v="1"/>
    <n v="0"/>
  </r>
  <r>
    <n v="927"/>
    <s v="Andere Bäume (regionsspezifische Biodiversitätsförderfläche)"/>
    <s v="Other trees (region-specific biodiversity promotion area)"/>
    <s v="Autres arbres (surfaces de promotion de la biodiversité spécifiques à la région)"/>
    <s v="Altri alberi (superfici per la promozione della biodiversità specifiche di una regione)"/>
    <m/>
    <m/>
    <n v="1"/>
    <n v="1"/>
    <n v="0"/>
    <m/>
    <x v="29"/>
    <m/>
    <m/>
    <x v="1"/>
    <n v="0"/>
  </r>
  <r>
    <n v="928"/>
    <s v="Andere Elemente (regionsspezifische Biodiversitätsförderfläche)"/>
    <s v="Other elements (region-specific biodiversity promotion area)"/>
    <s v="Autres éléments (surfaces de promotion de la biodiversité spécifiques à la région)"/>
    <s v="Altri elementi (superficie per la promozione della biodiversità specifica di una regione)"/>
    <m/>
    <m/>
    <n v="1"/>
    <n v="1"/>
    <n v="0"/>
    <m/>
    <x v="29"/>
    <m/>
    <m/>
    <x v="1"/>
    <n v="0"/>
  </r>
  <r>
    <n v="930"/>
    <s v="Sömmerungsweiden"/>
    <s v="Summer grazing pastures"/>
    <s v="Pâturages d’estivage"/>
    <s v="Pascoli d’estivazione"/>
    <m/>
    <m/>
    <n v="0"/>
    <n v="0"/>
    <n v="0"/>
    <s v="Alpine Pasture"/>
    <x v="54"/>
    <s v="Alpine Pasture"/>
    <s v="Grassland"/>
    <x v="0"/>
    <n v="194233.89813277722"/>
  </r>
  <r>
    <n v="933"/>
    <s v="Gemeinschaftsweiden"/>
    <s v="Communal pastures"/>
    <s v="Pâturages communautaires"/>
    <s v="Pascoli comunitari"/>
    <m/>
    <m/>
    <n v="0"/>
    <n v="0"/>
    <n v="0"/>
    <s v="Communal Pasture"/>
    <x v="55"/>
    <s v="Pasture"/>
    <s v="Grassland"/>
    <x v="1"/>
    <n v="1457.9465166666666"/>
  </r>
  <r>
    <n v="935"/>
    <s v="Heuwiesen mit Zufütterung während der Sömmerung"/>
    <s v="Hay meadows with supplementary feeding during summer grazing"/>
    <s v="Prairies de fauche en région d’estivage, pour l'affouragement pendant l'estivage"/>
    <s v="Prati da sfalcio nella regione d’estivazione, per l'alimentazione durante l'estivazione"/>
    <m/>
    <m/>
    <n v="0"/>
    <n v="0"/>
    <n v="0"/>
    <m/>
    <x v="29"/>
    <m/>
    <m/>
    <x v="1"/>
    <n v="29.082264285714285"/>
  </r>
  <r>
    <n v="936"/>
    <s v="Streueflächen im Sömmerungsgebiet"/>
    <s v="Litter areas in summer-grazing regions"/>
    <s v="Surfaces à litière, région d’estivage"/>
    <s v="Terreni da strame nella regione d’estivazione"/>
    <m/>
    <m/>
    <n v="0"/>
    <n v="0"/>
    <n v="0"/>
    <s v="Wetland"/>
    <x v="56"/>
    <s v="Wetland"/>
    <s v="Wetland"/>
    <x v="0"/>
    <n v="338.24971872146119"/>
  </r>
  <r>
    <n v="950"/>
    <s v="Ackerschonstreifen"/>
    <s v="Arable field margin strips"/>
    <s v="Bande culturale extensive"/>
    <s v="Fasce di colture estensive in campicoltura"/>
    <n v="2023"/>
    <m/>
    <n v="1"/>
    <n v="1"/>
    <n v="0"/>
    <m/>
    <x v="29"/>
    <m/>
    <m/>
    <x v="1"/>
    <n v="0"/>
  </r>
  <r>
    <n v="951"/>
    <s v="Getreide in weiter Reihe"/>
    <s v="Cereals in wide rows"/>
    <s v="Céréales en lignes de semis espacées"/>
    <s v="Cereali in file distanziate"/>
    <n v="2023"/>
    <n v="2024"/>
    <n v="1"/>
    <n v="1"/>
    <n v="0"/>
    <m/>
    <x v="29"/>
    <m/>
    <m/>
    <x v="1"/>
    <n v="0"/>
  </r>
  <r>
    <n v="998"/>
    <s v="Übrige Flächen ausserhalb der landwirtschaftlichen Nutzfläche und Sömmerungsfläche"/>
    <s v="Other areas outside agricultural land and summer-grazing areas"/>
    <s v="Autres surfaces situées en dehors de la surface agricole utile et la surface d’estivage"/>
    <s v="Altre superfici fuori della superficie agricola utilizzata e superfici d’estivazione"/>
    <m/>
    <m/>
    <n v="0"/>
    <n v="0"/>
    <n v="0"/>
    <m/>
    <x v="29"/>
    <m/>
    <m/>
    <x v="1"/>
    <n v="574.62526614753472"/>
  </r>
  <r>
    <n v="1901"/>
    <s v="Fels (swissTLM3D)"/>
    <s v="Rock (swissTLM3D)"/>
    <s v="Roche (swissTLM3D)"/>
    <s v="Roccia (swissTLM3D)"/>
    <m/>
    <m/>
    <m/>
    <m/>
    <m/>
    <s v="Unproductive Area"/>
    <x v="51"/>
    <s v="Unproductive Area"/>
    <s v="Unproductive Area"/>
    <x v="0"/>
    <n v="270153.12015292724"/>
  </r>
  <r>
    <n v="1902"/>
    <s v="Fels locker (swissTLM3D)"/>
    <s v="Loose rock (swissTLM3D)"/>
    <s v="Roche meuble (swissTLM3D)"/>
    <s v="Roccia sciolta (swissTLM3D)"/>
    <m/>
    <m/>
    <m/>
    <m/>
    <m/>
    <s v="Unproductive Area"/>
    <x v="51"/>
    <s v="Unproductive Area"/>
    <s v="Unproductive Area"/>
    <x v="0"/>
    <n v="21359.424027063633"/>
  </r>
  <r>
    <n v="1903"/>
    <s v="Felsbloecke (swissTLM3D)"/>
    <s v="Boulders (swissTLM3D)"/>
    <s v="Blocs rocheux (swissTLM3D)"/>
    <s v="Massi (swissTLM3D)"/>
    <m/>
    <m/>
    <m/>
    <m/>
    <m/>
    <s v="Unproductive Area"/>
    <x v="51"/>
    <s v="Unproductive Area"/>
    <s v="Unproductive Area"/>
    <x v="0"/>
    <n v="2102.0371285714286"/>
  </r>
  <r>
    <n v="1904"/>
    <s v="Felsbloecke locker (swissTLM3D)"/>
    <s v="Loose boulders (swissTLM3D)"/>
    <s v="Blocs rocheux meubles (swissTLM3D)"/>
    <s v="Massi sciolti (swissTLM3D)"/>
    <m/>
    <m/>
    <m/>
    <m/>
    <m/>
    <s v="Unproductive Area"/>
    <x v="51"/>
    <s v="Unproductive Area"/>
    <s v="Unproductive Area"/>
    <x v="0"/>
    <n v="850.89114782717286"/>
  </r>
  <r>
    <n v="1905"/>
    <s v="Lockergestein (swissTLM3D)"/>
    <s v="Unconsolidated sediment (swissTLM3D)"/>
    <s v="Sédiment meuble (swissTLM3D)"/>
    <s v="Sedimento sciolto (swissTLM3D)"/>
    <m/>
    <m/>
    <m/>
    <m/>
    <m/>
    <s v="Unproductive Area"/>
    <x v="51"/>
    <s v="Unproductive Area"/>
    <s v="Unproductive Area"/>
    <x v="0"/>
    <n v="273652.62614822033"/>
  </r>
  <r>
    <n v="1906"/>
    <s v="Lockergestein locker (swissTLM3D)"/>
    <s v="Loose unconsolidated sediment (swissTLM3D)"/>
    <s v="Sédiment meuble meuble (swissTLM3D)"/>
    <s v="Sedimento sciolto sciolto (swissTLM3D)"/>
    <m/>
    <m/>
    <m/>
    <m/>
    <m/>
    <s v="Unproductive Area"/>
    <x v="51"/>
    <s v="Unproductive Area"/>
    <s v="Unproductive Area"/>
    <x v="0"/>
    <n v="27633.425315552719"/>
  </r>
  <r>
    <n v="1907"/>
    <s v="Gletscher (swissTLM3D)"/>
    <s v="Glacier (swissTLM3D)"/>
    <s v="Glacier (swissTLM3D)"/>
    <s v="Ghiacciaio (swissTLM3D)"/>
    <m/>
    <m/>
    <m/>
    <m/>
    <m/>
    <s v="Unproductive Area"/>
    <x v="51"/>
    <s v="Unproductive Area"/>
    <s v="Unproductive Area"/>
    <x v="0"/>
    <n v="95986.18384285715"/>
  </r>
  <r>
    <n v="1908"/>
    <s v="Schneefeld Toteis (swissTLM3D)"/>
    <s v="Snowfield / dead ice (swissTLM3D)"/>
    <s v="Champ de neige / glace morte (swissTLM3D)"/>
    <s v="Campo di neve / ghiaccio morto (swissTLM3D)"/>
    <m/>
    <m/>
    <m/>
    <m/>
    <m/>
    <s v="Unproductive Area"/>
    <x v="51"/>
    <s v="Unproductive Area"/>
    <s v="Unproductive Area"/>
    <x v="0"/>
    <n v="4084.591375"/>
  </r>
  <r>
    <n v="1909"/>
    <s v="Stehende Gewaesser (swissTLM3D)"/>
    <s v="Standing water (swissTLM3D)"/>
    <s v="Eaux stagnantes (swissTLM3D)"/>
    <s v="Acque stagnanti (swissTLM3D)"/>
    <m/>
    <m/>
    <m/>
    <m/>
    <m/>
    <s v="Water"/>
    <x v="52"/>
    <s v="Water"/>
    <s v="Water"/>
    <x v="0"/>
    <n v="223425.44403632887"/>
  </r>
  <r>
    <n v="1910"/>
    <s v="Fliessgewaesser (swissTLM3D)"/>
    <s v="Flowing water (swissTLM3D)"/>
    <s v="Eaux courantes (swissTLM3D)"/>
    <s v="Acque correnti (swissTLM3D)"/>
    <m/>
    <m/>
    <m/>
    <m/>
    <m/>
    <s v="Water"/>
    <x v="52"/>
    <s v="Water"/>
    <s v="Water"/>
    <x v="0"/>
    <n v="14073.13453830507"/>
  </r>
  <r>
    <n v="1911"/>
    <s v="Feuchtgebiet (swissTLM3D)"/>
    <s v="Wetland (swissTLM3D)"/>
    <s v="Zone humide (swissTLM3D)"/>
    <s v="Zona umida (swissTLM3D)"/>
    <m/>
    <m/>
    <m/>
    <m/>
    <m/>
    <s v="Wetland"/>
    <x v="56"/>
    <s v="Wetland"/>
    <s v="Wetland"/>
    <x v="0"/>
    <n v="12144.005034603775"/>
  </r>
  <r>
    <n v="1912"/>
    <s v="Gehölzflaeche (swissTLM3D)"/>
    <s v="Woodland (swissTLM3D)"/>
    <s v="Boisement (swissTLM3D)"/>
    <s v="Boschetto (swissTLM3D)"/>
    <m/>
    <m/>
    <m/>
    <m/>
    <m/>
    <s v="Forest"/>
    <x v="47"/>
    <s v="Forest"/>
    <s v="Forest"/>
    <x v="0"/>
    <n v="11264.472725284761"/>
  </r>
  <r>
    <n v="1913"/>
    <s v="Gebüschwald (swissTLM3D)"/>
    <s v="Shrub forest (swissTLM3D)"/>
    <s v="Forêt de broussailles (swissTLM3D)"/>
    <s v="Bosco di cespugli (swissTLM3D)"/>
    <m/>
    <m/>
    <m/>
    <m/>
    <m/>
    <s v="Forest"/>
    <x v="47"/>
    <s v="Forest"/>
    <s v="Forest"/>
    <x v="0"/>
    <n v="51810.236887944629"/>
  </r>
  <r>
    <n v="1914"/>
    <s v="Wald offen (swissTLM3D)"/>
    <s v="Open forest (swissTLM3D)"/>
    <s v="Forêt ouverte (swissTLM3D)"/>
    <s v="Bosco aperto (swissTLM3D)"/>
    <m/>
    <m/>
    <m/>
    <m/>
    <m/>
    <s v="Forest"/>
    <x v="47"/>
    <s v="Forest"/>
    <s v="Forest"/>
    <x v="0"/>
    <n v="27540.417997003238"/>
  </r>
  <r>
    <n v="1915"/>
    <s v="Wald (swissTLM3D)"/>
    <s v="Forest (swissTLM3D)"/>
    <s v="Forêt (swissTLM3D)"/>
    <s v="Foresta (swissTLM3D)"/>
    <m/>
    <m/>
    <m/>
    <m/>
    <m/>
    <s v="Forest"/>
    <x v="47"/>
    <s v="Forest"/>
    <s v="Forest"/>
    <x v="0"/>
    <n v="1090777.630259081"/>
  </r>
  <r>
    <n v="1921"/>
    <s v="Strassen (swissTLM3D)"/>
    <s v="Roads (swissTLM3D)"/>
    <s v="Routes (swissTLM3D)"/>
    <s v="Strade (swissTLM3D)"/>
    <m/>
    <m/>
    <m/>
    <m/>
    <m/>
    <s v="Built-up"/>
    <x v="53"/>
    <s v="Built-up"/>
    <s v="Built-up"/>
    <x v="0"/>
    <n v="52009.104355739102"/>
  </r>
  <r>
    <n v="1922"/>
    <s v="Eisenbahn (swissTLM3D)"/>
    <s v="Railway (swissTLM3D)"/>
    <s v="Chemin de fer (swissTLM3D)"/>
    <s v="Ferrovia (swissTLM3D)"/>
    <m/>
    <m/>
    <m/>
    <m/>
    <m/>
    <s v="Built-up"/>
    <x v="53"/>
    <s v="Built-up"/>
    <s v="Built-up"/>
    <x v="0"/>
    <n v="6550.5173534548949"/>
  </r>
  <r>
    <n v="1923"/>
    <s v="Gebäude (swissTLM3D)"/>
    <s v="Buildings (swissTLM3D)"/>
    <s v="Bâtiments (swissTLM3D)"/>
    <s v="Edifici (swissTLM3D)"/>
    <m/>
    <m/>
    <m/>
    <m/>
    <m/>
    <s v="Built-up"/>
    <x v="53"/>
    <s v="Built-up"/>
    <s v="Built-up"/>
    <x v="0"/>
    <n v="55985.331225945498"/>
  </r>
  <r>
    <n v="1924"/>
    <s v="Sportplatz (swissTLM3D)"/>
    <s v="Sports field (swissTLM3D)"/>
    <s v="Terrain de sport (swissTLM3D)"/>
    <s v="Campo sportivo (swissTLM3D)"/>
    <m/>
    <m/>
    <m/>
    <m/>
    <m/>
    <s v="Built-up"/>
    <x v="53"/>
    <s v="Built-up"/>
    <s v="Built-up"/>
    <x v="0"/>
    <n v="2650.4389678571429"/>
  </r>
  <r>
    <n v="1925"/>
    <s v="Staubaute (swissTLM3D)"/>
    <s v="Dam / barrier (swissTLM3D)"/>
    <s v="Barrage (swissTLM3D)"/>
    <s v="Diga / sbarramento (swissTLM3D)"/>
    <m/>
    <m/>
    <m/>
    <m/>
    <m/>
    <s v="Built-up"/>
    <x v="53"/>
    <s v="Built-up"/>
    <s v="Built-up"/>
    <x v="0"/>
    <n v="491.4368412231529"/>
  </r>
  <r>
    <n v="1926"/>
    <s v="Verkehrsbaute (swissTLM3D)"/>
    <s v="Traffic structure (swissTLM3D)"/>
    <s v="Structure de circulation (swissTLM3D)"/>
    <s v="Struttura stradale (swissTLM3D)"/>
    <m/>
    <m/>
    <m/>
    <m/>
    <m/>
    <s v="Built-up"/>
    <x v="53"/>
    <s v="Built-up"/>
    <s v="Built-up"/>
    <x v="0"/>
    <n v="829.08574214599309"/>
  </r>
  <r>
    <n v="1927"/>
    <s v="Nutzungsareale (swissTLM3D)"/>
    <s v="Usage area (swissTLM3D)"/>
    <s v="Zone d'utilisation (swissTLM3D)"/>
    <s v="Area di utilizzo (swissTLM3D)"/>
    <m/>
    <m/>
    <m/>
    <m/>
    <m/>
    <s v="Built-up"/>
    <x v="53"/>
    <s v="Built-up"/>
    <s v="Built-up"/>
    <x v="0"/>
    <n v="1051.6849218430239"/>
  </r>
  <r>
    <n v="1928"/>
    <s v="Abbauareale (swissTLM3D)"/>
    <s v="Extraction area (swissTLM3D)"/>
    <s v="Zone d'extraction (swissTLM3D)"/>
    <s v="Area di estrazione (swissTLM3D)"/>
    <m/>
    <m/>
    <m/>
    <m/>
    <m/>
    <s v="Unproductive Area"/>
    <x v="51"/>
    <s v="Unproductive Area"/>
    <s v="Unproductive Area"/>
    <x v="0"/>
    <n v="2942.5818641909427"/>
  </r>
  <r>
    <n v="1929"/>
    <s v="Schrebergartenareale (swissTLM3D)"/>
    <s v="Allotment gardens (swissTLM3D)"/>
    <s v="Jardins familiaux (swissTLM3D)"/>
    <s v="Orti (swissTLM3D)"/>
    <m/>
    <m/>
    <m/>
    <m/>
    <m/>
    <s v="Built-up"/>
    <x v="53"/>
    <s v="Built-up"/>
    <s v="Built-up"/>
    <x v="0"/>
    <n v="1194.0955997139467"/>
  </r>
  <r>
    <n v="1930"/>
    <s v="Verkehrsareale (swissTLM3D)"/>
    <s v="Traffic area (swissTLM3D)"/>
    <s v="Zone de circulation (swissTLM3D)"/>
    <s v="Area di traffico (swissTLM3D)"/>
    <m/>
    <m/>
    <m/>
    <m/>
    <m/>
    <s v="Built-up"/>
    <x v="53"/>
    <s v="Built-up"/>
    <s v="Built-up"/>
    <x v="0"/>
    <n v="3025.8921385253611"/>
  </r>
  <r>
    <m/>
    <m/>
    <m/>
    <m/>
    <m/>
    <m/>
    <m/>
    <m/>
    <m/>
    <m/>
    <m/>
    <x v="29"/>
    <m/>
    <m/>
    <x v="0"/>
    <m/>
  </r>
  <r>
    <m/>
    <m/>
    <m/>
    <m/>
    <m/>
    <m/>
    <m/>
    <m/>
    <m/>
    <m/>
    <m/>
    <x v="29"/>
    <m/>
    <m/>
    <x v="0"/>
    <m/>
  </r>
  <r>
    <m/>
    <m/>
    <m/>
    <m/>
    <m/>
    <m/>
    <m/>
    <m/>
    <m/>
    <m/>
    <m/>
    <x v="29"/>
    <m/>
    <m/>
    <x v="0"/>
    <m/>
  </r>
  <r>
    <m/>
    <m/>
    <m/>
    <m/>
    <m/>
    <m/>
    <m/>
    <m/>
    <m/>
    <m/>
    <m/>
    <x v="29"/>
    <m/>
    <m/>
    <x v="0"/>
    <m/>
  </r>
  <r>
    <m/>
    <m/>
    <m/>
    <m/>
    <m/>
    <m/>
    <m/>
    <m/>
    <m/>
    <m/>
    <m/>
    <x v="29"/>
    <m/>
    <m/>
    <x v="0"/>
    <m/>
  </r>
  <r>
    <m/>
    <m/>
    <m/>
    <m/>
    <m/>
    <m/>
    <m/>
    <m/>
    <m/>
    <m/>
    <m/>
    <x v="29"/>
    <m/>
    <m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501"/>
    <s v="Sommergerste"/>
    <s v="Spring barley"/>
    <s v="Orge de printemps"/>
    <s v="Orzo primaverile"/>
    <m/>
    <m/>
    <n v="0"/>
    <n v="0"/>
    <n v="0"/>
    <x v="0"/>
    <s v="Spring Barley"/>
    <x v="0"/>
    <x v="0"/>
    <x v="0"/>
    <n v="783.95213214285718"/>
    <n v="4758855.5"/>
  </r>
  <r>
    <n v="502"/>
    <s v="Wintergerste"/>
    <s v="Winter barley"/>
    <s v="Orge d’automne"/>
    <s v="Orzo autunnale"/>
    <m/>
    <m/>
    <n v="0"/>
    <n v="0"/>
    <n v="0"/>
    <x v="1"/>
    <s v="Winter Barley"/>
    <x v="1"/>
    <x v="0"/>
    <x v="0"/>
    <n v="22283.892973532031"/>
    <n v="151343276.28191489"/>
  </r>
  <r>
    <n v="504"/>
    <s v="Hafer"/>
    <s v="Oats"/>
    <s v="Avoine"/>
    <s v="Avena"/>
    <m/>
    <m/>
    <n v="0"/>
    <n v="0"/>
    <n v="0"/>
    <x v="2"/>
    <s v="Oat"/>
    <x v="0"/>
    <x v="0"/>
    <x v="0"/>
    <n v="1947.3698666029147"/>
    <n v="8422953.5"/>
  </r>
  <r>
    <n v="505"/>
    <s v="Triticale"/>
    <s v="Triticale"/>
    <s v="Triticale"/>
    <s v="Triticale"/>
    <m/>
    <m/>
    <n v="0"/>
    <n v="0"/>
    <n v="0"/>
    <x v="3"/>
    <s v="Triticale"/>
    <x v="1"/>
    <x v="0"/>
    <x v="0"/>
    <n v="5951.3404074107148"/>
    <n v="39073434"/>
  </r>
  <r>
    <n v="506"/>
    <s v="Mischel Futtergetreide"/>
    <s v="Mixed fodder cereals"/>
    <s v="Méteil de céréales fourragères"/>
    <s v="Miscela di cereali da foraggio"/>
    <m/>
    <m/>
    <n v="0"/>
    <n v="0"/>
    <n v="0"/>
    <x v="4"/>
    <s v="Other Cereals"/>
    <x v="1"/>
    <x v="0"/>
    <x v="1"/>
    <n v="220.23700714285712"/>
    <n v="1791629"/>
  </r>
  <r>
    <n v="507"/>
    <s v="Futterweizen gemäss Sortenliste swiss granum"/>
    <s v="Fodder wheat according to Swiss Granum list"/>
    <s v="Blé fourrager selon liste swiss granum"/>
    <s v="Frumento da foraggio giusta la lista di swiss granum"/>
    <m/>
    <m/>
    <n v="0"/>
    <n v="0"/>
    <n v="0"/>
    <x v="5"/>
    <s v="Winter Wheat"/>
    <x v="1"/>
    <x v="0"/>
    <x v="0"/>
    <n v="7671.7773209235211"/>
    <n v="35567882"/>
  </r>
  <r>
    <n v="508"/>
    <s v="Körnermais"/>
    <s v="Grain maize"/>
    <s v="Maïs grain"/>
    <s v="Mais da granella"/>
    <m/>
    <m/>
    <n v="0"/>
    <n v="0"/>
    <n v="0"/>
    <x v="6"/>
    <s v="Grain Maize"/>
    <x v="2"/>
    <x v="0"/>
    <x v="0"/>
    <n v="14623.443504270146"/>
    <n v="105991678"/>
  </r>
  <r>
    <n v="509"/>
    <s v="Reis"/>
    <s v="Rice"/>
    <s v="Riz"/>
    <s v="Riso"/>
    <m/>
    <n v="2022"/>
    <n v="0"/>
    <n v="0"/>
    <n v="0"/>
    <x v="7"/>
    <s v="Rice"/>
    <x v="3"/>
    <x v="0"/>
    <x v="0"/>
    <n v="64.731162499999996"/>
    <n v="15543"/>
  </r>
  <r>
    <n v="510"/>
    <s v="Hartweizen"/>
    <s v="Durum wheat"/>
    <s v="Blé dur"/>
    <s v="Grano duro"/>
    <n v="2023"/>
    <m/>
    <n v="0"/>
    <n v="0"/>
    <n v="0"/>
    <x v="8"/>
    <s v="Other Cereals"/>
    <x v="1"/>
    <x v="0"/>
    <x v="1"/>
    <n v="283.06594999999999"/>
    <n v="0"/>
  </r>
  <r>
    <n v="511"/>
    <s v="Emmer, Einkorn"/>
    <s v="Emmer, Einkorn"/>
    <s v="Amidonnier, engrain"/>
    <s v="Farro, piccola spelta"/>
    <m/>
    <m/>
    <n v="0"/>
    <n v="0"/>
    <n v="0"/>
    <x v="9"/>
    <s v="Other Cereals"/>
    <x v="1"/>
    <x v="0"/>
    <x v="1"/>
    <n v="283.50887678571428"/>
    <n v="3725531.5"/>
  </r>
  <r>
    <n v="512"/>
    <s v="Sommerweizen (ohne Futterweizen der Sortenliste swiss granum)"/>
    <s v="Spring wheat (excluding Swiss Granum fodder wheat)"/>
    <s v="Blé de printemps (sans blé fourrager de la liste swiss granum)"/>
    <s v="Frumento primaverile (escl. il frumento da foraggio di swiss granum)"/>
    <m/>
    <m/>
    <n v="0"/>
    <n v="0"/>
    <n v="0"/>
    <x v="10"/>
    <s v="Spring Wheat"/>
    <x v="0"/>
    <x v="0"/>
    <x v="0"/>
    <n v="1448.6381081632653"/>
    <n v="4397936.2857142854"/>
  </r>
  <r>
    <n v="513"/>
    <s v="Winterweizen (ohne Futterweizen der Sortenliste swiss granum)"/>
    <s v="Winter wheat (excluding Swiss Granum fodder wheat)"/>
    <s v="Blé d'automne (sans blé fourrager de la liste swiss granum)"/>
    <s v="Frumento autunnale (escl. il frumento da foraggio di swiss granum)"/>
    <m/>
    <m/>
    <n v="0"/>
    <n v="0"/>
    <n v="0"/>
    <x v="5"/>
    <s v="Winter Wheat"/>
    <x v="1"/>
    <x v="0"/>
    <x v="0"/>
    <n v="62816.710120987693"/>
    <n v="489299182.05727535"/>
  </r>
  <r>
    <n v="514"/>
    <s v="Roggen"/>
    <s v="Rye"/>
    <s v="Seigle"/>
    <s v="Segale"/>
    <m/>
    <m/>
    <n v="0"/>
    <n v="0"/>
    <n v="0"/>
    <x v="11"/>
    <s v="Rye"/>
    <x v="1"/>
    <x v="0"/>
    <x v="0"/>
    <n v="1681.443201098901"/>
    <n v="9744185"/>
  </r>
  <r>
    <n v="515"/>
    <s v="Mischel Brotgetreide"/>
    <s v="Mixed bread cereals"/>
    <s v="Méteil de céréales panifiables"/>
    <s v="Miscela di cereali panificabili"/>
    <m/>
    <m/>
    <n v="0"/>
    <n v="0"/>
    <n v="0"/>
    <x v="4"/>
    <s v="Other Cereals"/>
    <x v="1"/>
    <x v="0"/>
    <x v="1"/>
    <n v="45.726514285714281"/>
    <n v="110129"/>
  </r>
  <r>
    <n v="516"/>
    <s v="Dinkel"/>
    <s v="Spelt"/>
    <s v="Epeautre"/>
    <s v="Spelta"/>
    <m/>
    <m/>
    <n v="0"/>
    <n v="0"/>
    <n v="0"/>
    <x v="12"/>
    <s v="Spelt"/>
    <x v="1"/>
    <x v="0"/>
    <x v="0"/>
    <n v="6325.2368508246263"/>
    <n v="33218261.654545456"/>
  </r>
  <r>
    <n v="519"/>
    <s v="Saatmais (Vertragsanbau)"/>
    <s v="Seed maize (contract farming)"/>
    <s v="Semences de maïs (contrat de culture)"/>
    <s v="Mais da semina (coltivazione contrattuale)"/>
    <m/>
    <m/>
    <n v="0"/>
    <n v="0"/>
    <n v="0"/>
    <x v="6"/>
    <s v="Grain Maize"/>
    <x v="2"/>
    <x v="0"/>
    <x v="0"/>
    <n v="157.98390714285713"/>
    <n v="1616425.5"/>
  </r>
  <r>
    <n v="520"/>
    <s v="Trockenreis"/>
    <s v="Dryland rice"/>
    <s v="Riz en culture sèche"/>
    <s v="Riso seminato su terreno asciutto"/>
    <n v="2023"/>
    <m/>
    <n v="0"/>
    <n v="0"/>
    <n v="0"/>
    <x v="7"/>
    <s v="Rice"/>
    <x v="3"/>
    <x v="0"/>
    <x v="0"/>
    <n v="56.367616666666663"/>
    <n v="0"/>
  </r>
  <r>
    <n v="521"/>
    <s v="Silo- und Grünmais"/>
    <s v="Silage and green maize"/>
    <s v="Maïs d'ensilage et maïs vert"/>
    <s v="Mais da insilamento e verde"/>
    <m/>
    <m/>
    <n v="0"/>
    <n v="0"/>
    <n v="0"/>
    <x v="13"/>
    <s v="Silage Maize"/>
    <x v="2"/>
    <x v="0"/>
    <x v="0"/>
    <n v="42553.314287612768"/>
    <n v="283573484.76578414"/>
  </r>
  <r>
    <n v="522"/>
    <s v="Zuckerrüben"/>
    <s v="Sugar beets"/>
    <s v="Betteraves sucrières"/>
    <s v="Barbabietole da zucchero"/>
    <m/>
    <m/>
    <n v="0"/>
    <n v="0"/>
    <n v="0"/>
    <x v="14"/>
    <s v="Sugar Beets"/>
    <x v="4"/>
    <x v="0"/>
    <x v="0"/>
    <n v="14966.840917132518"/>
    <n v="115236702.87935026"/>
  </r>
  <r>
    <n v="523"/>
    <s v="Futterrüben"/>
    <s v="Fodder beets"/>
    <s v="Betteraves fourragères"/>
    <s v="Barbabietole da foraggio"/>
    <m/>
    <m/>
    <n v="0"/>
    <n v="0"/>
    <n v="0"/>
    <x v="15"/>
    <s v="Beets"/>
    <x v="4"/>
    <x v="0"/>
    <x v="0"/>
    <n v="283.98903571428571"/>
    <n v="1471582"/>
  </r>
  <r>
    <n v="524"/>
    <s v="Kartoffeln"/>
    <s v="Potatoes"/>
    <s v="Pommes de terre"/>
    <s v="Patate"/>
    <m/>
    <m/>
    <n v="0"/>
    <n v="0"/>
    <n v="0"/>
    <x v="16"/>
    <s v="Potatoes"/>
    <x v="4"/>
    <x v="0"/>
    <x v="0"/>
    <n v="7944.6370557463433"/>
    <n v="45049718.344827585"/>
  </r>
  <r>
    <n v="525"/>
    <s v="Pflanzkartoffeln (Vertragsanbau)"/>
    <s v="Seed potatoes (contract farming)"/>
    <s v="Plants de pommes de terre (contrat de culture)"/>
    <s v="Tuberi-seme di patate (coltivazione contrattuale)"/>
    <m/>
    <m/>
    <n v="0"/>
    <n v="0"/>
    <n v="0"/>
    <x v="16"/>
    <s v="Potatoes"/>
    <x v="4"/>
    <x v="0"/>
    <x v="0"/>
    <n v="1190.1565096712241"/>
    <n v="5009877.5"/>
  </r>
  <r>
    <n v="526"/>
    <s v="Sommerraps zur Speiseölgewinnung"/>
    <s v="Spring rapeseed for edible oil"/>
    <s v="Colza de printemps destiné à la fabrication d’huile comestible"/>
    <s v="Colza primaverile per l’estrazione di olio commestibile"/>
    <m/>
    <m/>
    <n v="0"/>
    <n v="0"/>
    <n v="0"/>
    <x v="17"/>
    <s v="Rapeseed"/>
    <x v="5"/>
    <x v="0"/>
    <x v="0"/>
    <n v="88.942621428571428"/>
    <n v="699904.5"/>
  </r>
  <r>
    <n v="527"/>
    <s v="Winterraps zur Speiseölgewinnung"/>
    <s v="Winter rapeseed for edible oil"/>
    <s v="Colza d’automne destiné à la fabrication d’huile comestible"/>
    <s v="Colza autunnale per l’estrazione di olio commestibile"/>
    <m/>
    <m/>
    <n v="0"/>
    <n v="0"/>
    <n v="0"/>
    <x v="18"/>
    <s v="Rapeseed"/>
    <x v="5"/>
    <x v="0"/>
    <x v="0"/>
    <n v="22052.162749027302"/>
    <n v="161499628.94699606"/>
  </r>
  <r>
    <n v="528"/>
    <s v="Soja"/>
    <s v="Soybean"/>
    <s v="Soja"/>
    <s v="Soia"/>
    <m/>
    <m/>
    <n v="0"/>
    <n v="0"/>
    <n v="0"/>
    <x v="19"/>
    <s v="Soybean"/>
    <x v="5"/>
    <x v="0"/>
    <x v="0"/>
    <n v="2546.4169552548392"/>
    <n v="13511709.166666666"/>
  </r>
  <r>
    <n v="529"/>
    <s v="Nassreis"/>
    <s v="Wetland rice"/>
    <s v="Riz en culture humide"/>
    <s v="Riso seminato su terreno bagnato"/>
    <n v="2023"/>
    <m/>
    <n v="0"/>
    <n v="0"/>
    <n v="0"/>
    <x v="7"/>
    <s v="Rice"/>
    <x v="3"/>
    <x v="0"/>
    <x v="0"/>
    <n v="19.407900000000001"/>
    <n v="0"/>
  </r>
  <r>
    <n v="531"/>
    <s v="Sonnenblumen zur Speiseölgewinnung"/>
    <s v="Sunflower for edible oil"/>
    <s v="Tournesol destiné à la fabrication d’huile comestible"/>
    <s v="Girasole per l’estrazione di olio commestibile"/>
    <m/>
    <m/>
    <n v="0"/>
    <n v="0"/>
    <n v="0"/>
    <x v="20"/>
    <s v="Sunflower"/>
    <x v="5"/>
    <x v="0"/>
    <x v="0"/>
    <n v="5546.2261956509037"/>
    <n v="45444949.5"/>
  </r>
  <r>
    <n v="534"/>
    <s v="Lein"/>
    <s v="Flax"/>
    <s v="Lin"/>
    <s v="Lino"/>
    <m/>
    <m/>
    <n v="0"/>
    <n v="0"/>
    <n v="0"/>
    <x v="21"/>
    <s v="Minor Oilseeds"/>
    <x v="5"/>
    <x v="0"/>
    <x v="0"/>
    <n v="179.94047142857144"/>
    <n v="1001127"/>
  </r>
  <r>
    <n v="535"/>
    <s v="Hanf"/>
    <s v="Hemp"/>
    <s v="Chanvre"/>
    <s v="Canapa"/>
    <m/>
    <n v="2021"/>
    <n v="0"/>
    <n v="0"/>
    <n v="0"/>
    <x v="22"/>
    <s v="Special Crops"/>
    <x v="6"/>
    <x v="0"/>
    <x v="0"/>
    <n v="0"/>
    <m/>
  </r>
  <r>
    <n v="536"/>
    <s v="Bohnen und Wicken zur Körnergewinnung (z.B. Ackerbohnen) "/>
    <s v="Beans and vetches for grain production (e.g., field beans)"/>
    <s v="Haricots et vesces en grains (p.ex. féveroles)"/>
    <s v="Fagioli e vecce per l’estrazione di granelli (p.es. favette)"/>
    <m/>
    <m/>
    <n v="0"/>
    <n v="0"/>
    <n v="0"/>
    <x v="23"/>
    <s v="Beans"/>
    <x v="7"/>
    <x v="0"/>
    <x v="0"/>
    <n v="773.72178146718147"/>
    <n v="6962343"/>
  </r>
  <r>
    <n v="537"/>
    <s v="Erbsen zur Körnergewinnung (z.B. Eiweisserbsen)"/>
    <s v="Peas for grain production (e.g., protein peas)"/>
    <s v="Pois en grains (p.ex. pois protéagineux)"/>
    <s v="Piselli per l’estrazione di granelli (p.es. piselli proteici)"/>
    <m/>
    <m/>
    <n v="0"/>
    <n v="0"/>
    <n v="0"/>
    <x v="24"/>
    <s v="Peas"/>
    <x v="7"/>
    <x v="0"/>
    <x v="0"/>
    <n v="2410.9543621883172"/>
    <n v="22139084.865831152"/>
  </r>
  <r>
    <n v="538"/>
    <s v="Lupinen"/>
    <s v="Lupins"/>
    <s v="Lupins"/>
    <s v="Lupini"/>
    <m/>
    <m/>
    <n v="0"/>
    <n v="0"/>
    <n v="0"/>
    <x v="25"/>
    <s v="Lupine"/>
    <x v="7"/>
    <x v="0"/>
    <x v="0"/>
    <n v="258.73302142857142"/>
    <n v="1133907"/>
  </r>
  <r>
    <n v="539"/>
    <s v="Ölkürbisse"/>
    <s v="Oil pumpkins"/>
    <s v="Courges à huile"/>
    <s v="Zucche per l’estrazione di olio"/>
    <m/>
    <m/>
    <n v="0"/>
    <n v="0"/>
    <n v="0"/>
    <x v="26"/>
    <s v="Oil Pumpkins"/>
    <x v="6"/>
    <x v="0"/>
    <x v="0"/>
    <n v="92.410907142857141"/>
    <n v="668733"/>
  </r>
  <r>
    <n v="540"/>
    <s v="Kichererbsen"/>
    <s v="Chickpeas"/>
    <s v="Pois chiches"/>
    <s v="Ceci"/>
    <n v="2023"/>
    <m/>
    <n v="0"/>
    <n v="0"/>
    <n v="0"/>
    <x v="27"/>
    <s v="Chickpeas"/>
    <x v="7"/>
    <x v="0"/>
    <x v="1"/>
    <n v="74.286514722222236"/>
    <n v="0"/>
  </r>
  <r>
    <n v="541"/>
    <s v="Tabak"/>
    <s v="Tobacco"/>
    <s v="Tabac"/>
    <s v="Tabacco"/>
    <m/>
    <m/>
    <n v="0"/>
    <n v="0"/>
    <n v="1"/>
    <x v="28"/>
    <s v="Special Crops"/>
    <x v="6"/>
    <x v="0"/>
    <x v="0"/>
    <n v="339.94855714285711"/>
    <n v="2178598.5"/>
  </r>
  <r>
    <n v="542"/>
    <s v="Hirse"/>
    <s v="Millet"/>
    <s v="Millet"/>
    <s v="Miglio"/>
    <m/>
    <n v="2022"/>
    <n v="0"/>
    <n v="0"/>
    <n v="0"/>
    <x v="29"/>
    <s v="Millet"/>
    <x v="2"/>
    <x v="0"/>
    <x v="0"/>
    <n v="242.06027692307691"/>
    <n v="2165378.576923077"/>
  </r>
  <r>
    <n v="543"/>
    <s v="Getreide siliert"/>
    <s v="Ensiled cereals"/>
    <s v="Céréales ensilées"/>
    <s v="Cereali insilati"/>
    <m/>
    <m/>
    <n v="0"/>
    <n v="0"/>
    <n v="0"/>
    <x v="30"/>
    <s v="Other Cereals"/>
    <x v="1"/>
    <x v="0"/>
    <x v="1"/>
    <n v="574.75540714285717"/>
    <n v="2919989"/>
  </r>
  <r>
    <n v="544"/>
    <s v="Leindotter"/>
    <s v="Camelina"/>
    <s v="Cameline"/>
    <s v="Dorella"/>
    <m/>
    <m/>
    <n v="0"/>
    <n v="0"/>
    <n v="0"/>
    <x v="31"/>
    <s v="Minor Oilseeds"/>
    <x v="5"/>
    <x v="0"/>
    <x v="0"/>
    <n v="12.63735"/>
    <n v="129231.5"/>
  </r>
  <r>
    <n v="545"/>
    <s v="Einjährige Freilandgemüse, ohne Konservengemüse"/>
    <s v="Annual open-field vegetables, excluding preserved vegetables"/>
    <s v="Cultures maraîchères de plein champ annuelles (sauf les légumes de conserve)"/>
    <s v="Ortaggi annuali di pieno campo (esclusi quelli destinati alla conservazione)"/>
    <m/>
    <m/>
    <n v="0"/>
    <n v="0"/>
    <n v="1"/>
    <x v="32"/>
    <s v="Vegetables"/>
    <x v="6"/>
    <x v="0"/>
    <x v="0"/>
    <n v="9330.8260365258666"/>
    <n v="61324142.576612897"/>
  </r>
  <r>
    <n v="546"/>
    <s v="Freiland-Konservengemüse"/>
    <s v="Open-field vegetables for preservation"/>
    <s v="Légumes de conserve cultivés en plein champ"/>
    <s v="Ortaggi di pieno campo per la conservazione"/>
    <m/>
    <m/>
    <n v="0"/>
    <n v="0"/>
    <n v="0"/>
    <x v="32"/>
    <s v="Vegetables"/>
    <x v="6"/>
    <x v="0"/>
    <x v="0"/>
    <n v="1609.4797000793651"/>
    <n v="13283973.699999999"/>
  </r>
  <r>
    <n v="547"/>
    <s v="Wurzeln der Treibzichorie"/>
    <s v="Roots of forced chicory"/>
    <s v="Racines de chicorée"/>
    <s v="Radici di cicoria di coltura forzata"/>
    <m/>
    <m/>
    <n v="0"/>
    <n v="0"/>
    <n v="1"/>
    <x v="33"/>
    <s v="Chicory Root"/>
    <x v="4"/>
    <x v="0"/>
    <x v="0"/>
    <n v="392.08204999999998"/>
    <n v="3659470.5"/>
  </r>
  <r>
    <n v="548"/>
    <s v="Buchweizen"/>
    <s v="Buckwheat"/>
    <s v="Sarrasin"/>
    <s v="Grano saraceno"/>
    <m/>
    <m/>
    <n v="0"/>
    <n v="0"/>
    <n v="0"/>
    <x v="34"/>
    <s v="Vegetables"/>
    <x v="6"/>
    <x v="0"/>
    <x v="0"/>
    <n v="70.660502318396809"/>
    <n v="404834.5"/>
  </r>
  <r>
    <n v="549"/>
    <s v="Sorghum"/>
    <s v="Sorghum"/>
    <s v="Sorgho"/>
    <s v="Sorgo"/>
    <m/>
    <n v="2022"/>
    <n v="0"/>
    <n v="0"/>
    <n v="0"/>
    <x v="35"/>
    <s v="Sorghum"/>
    <x v="2"/>
    <x v="0"/>
    <x v="0"/>
    <n v="271.00381249999998"/>
    <n v="2072187"/>
  </r>
  <r>
    <n v="550"/>
    <s v="Übrige Ackerfläche"/>
    <s v="Other arable land"/>
    <s v="Autres terres assolées"/>
    <s v="Altra superficie coltiva"/>
    <m/>
    <m/>
    <n v="0"/>
    <n v="0"/>
    <n v="0"/>
    <x v="36"/>
    <m/>
    <x v="8"/>
    <x v="1"/>
    <x v="1"/>
    <n v="0"/>
    <m/>
  </r>
  <r>
    <n v="551"/>
    <s v="Einjährige Beeren (z.B. Erdbeeren)"/>
    <s v="Annual berries (e.g., strawberries)"/>
    <s v="Baies annuelles (p.ex. fraises)"/>
    <s v="Bacche annuali (p.es. fragole)"/>
    <m/>
    <m/>
    <n v="0"/>
    <n v="0"/>
    <n v="1"/>
    <x v="37"/>
    <s v="Annual Berries"/>
    <x v="6"/>
    <x v="0"/>
    <x v="0"/>
    <n v="438.60440391371503"/>
    <n v="2855506.2000470096"/>
  </r>
  <r>
    <n v="552"/>
    <s v="Einjährige nachwachsende Rohstoffe (Kenaf, usw.)"/>
    <s v="Annual renewable raw materials (Kenaf, etc.)"/>
    <s v="Matières premières renouvelables annuelles (kénaf, etc.)"/>
    <s v="Materie prime rinnovabili annuali (kenaf, ecc.)"/>
    <m/>
    <m/>
    <n v="0"/>
    <n v="0"/>
    <n v="0"/>
    <x v="38"/>
    <s v="Special Crops"/>
    <x v="6"/>
    <x v="0"/>
    <x v="0"/>
    <n v="1.8362357142857142"/>
    <n v="26715.5"/>
  </r>
  <r>
    <n v="553"/>
    <s v="Einjährige Gewürz- und Medizinalpflanzen"/>
    <s v="Annual spice and medicinal plants"/>
    <s v="Plantes aromatiques et médicinales annuelles"/>
    <s v="Piante aromatiche e medicinali annuali"/>
    <m/>
    <m/>
    <n v="0"/>
    <n v="0"/>
    <n v="1"/>
    <x v="39"/>
    <s v="Vegetables"/>
    <x v="6"/>
    <x v="0"/>
    <x v="0"/>
    <n v="127.8937642857143"/>
    <n v="693766.5"/>
  </r>
  <r>
    <n v="554"/>
    <s v="Einjährige gärtnerische Freilandkulturen (Blumen, Rollrasen usw.)"/>
    <s v="Annual open-field horticultural crops (flowers, turf, etc.)"/>
    <s v="Cultures horticoles annuelles de plein champ (fleurs, gazon en rouleaux, etc.)"/>
    <s v="Floricoltura di pieno campo annuale (fiori, manto erboso in rotoli, ecc.)"/>
    <m/>
    <m/>
    <n v="0"/>
    <n v="0"/>
    <n v="0"/>
    <x v="40"/>
    <s v="Vegetables"/>
    <x v="6"/>
    <x v="0"/>
    <x v="0"/>
    <n v="279.37738714285717"/>
    <n v="2393553"/>
  </r>
  <r>
    <n v="555"/>
    <s v="Ackerschonstreifen"/>
    <s v="Wildflower strips"/>
    <s v="Bande culturale extensive"/>
    <s v="Fasce di colture estensive in campicoltura"/>
    <m/>
    <n v="2022"/>
    <n v="0"/>
    <n v="1"/>
    <n v="0"/>
    <x v="41"/>
    <s v="Fallow"/>
    <x v="9"/>
    <x v="0"/>
    <x v="0"/>
    <n v="390.91516493280773"/>
    <n v="3291508.5"/>
  </r>
  <r>
    <n v="556"/>
    <s v="Buntbrache"/>
    <s v="Flowering fallow"/>
    <s v="Jachère florale"/>
    <s v="Maggese fioriti"/>
    <m/>
    <m/>
    <n v="0"/>
    <n v="1"/>
    <n v="0"/>
    <x v="41"/>
    <s v="Fallow"/>
    <x v="9"/>
    <x v="0"/>
    <x v="0"/>
    <n v="2702.1892226453219"/>
    <n v="21261150.169992622"/>
  </r>
  <r>
    <n v="557"/>
    <s v="Rotationsbrache"/>
    <s v="Rotational fallow"/>
    <s v="Jachère tournante"/>
    <s v="Maggese da rotazione"/>
    <m/>
    <m/>
    <n v="0"/>
    <n v="1"/>
    <n v="0"/>
    <x v="41"/>
    <s v="Fallow"/>
    <x v="9"/>
    <x v="0"/>
    <x v="0"/>
    <n v="784.63922767142788"/>
    <n v="5600613.5"/>
  </r>
  <r>
    <n v="559"/>
    <s v="Saum auf Ackerflächen"/>
    <s v="Improved (species-rich) field margins on arable land"/>
    <s v="Ourlet sur terres assolées"/>
    <s v="Striscia su superficie coltiva"/>
    <m/>
    <m/>
    <n v="0"/>
    <n v="1"/>
    <n v="0"/>
    <x v="41"/>
    <s v="Fallow"/>
    <x v="9"/>
    <x v="0"/>
    <x v="0"/>
    <n v="332.78777610358509"/>
    <n v="2174289"/>
  </r>
  <r>
    <n v="566"/>
    <s v="Mohn"/>
    <s v="Poppy"/>
    <s v="Pavot"/>
    <s v="Papavero"/>
    <m/>
    <m/>
    <n v="0"/>
    <n v="0"/>
    <n v="0"/>
    <x v="42"/>
    <s v="Special Crops"/>
    <x v="6"/>
    <x v="0"/>
    <x v="0"/>
    <n v="13.179071428571429"/>
    <n v="21383.5"/>
  </r>
  <r>
    <n v="567"/>
    <s v="Saflor"/>
    <s v="Safflower"/>
    <s v="Carthame"/>
    <s v="Cartamo"/>
    <m/>
    <m/>
    <n v="0"/>
    <n v="0"/>
    <n v="0"/>
    <x v="43"/>
    <s v="Minor Oilseeds"/>
    <x v="5"/>
    <x v="0"/>
    <x v="0"/>
    <n v="2.4839571428571428"/>
    <n v="34863"/>
  </r>
  <r>
    <n v="568"/>
    <s v="Linsen"/>
    <s v="Lentils"/>
    <s v="Lentilles"/>
    <s v="Lenticchie"/>
    <m/>
    <m/>
    <n v="0"/>
    <n v="0"/>
    <n v="0"/>
    <x v="44"/>
    <s v="Lentils"/>
    <x v="7"/>
    <x v="0"/>
    <x v="0"/>
    <n v="137.26094528583272"/>
    <n v="1062471"/>
  </r>
  <r>
    <n v="569"/>
    <s v="Mischungen von Bohnen, Wicken, Erbsen, Kichererbsen und Lupinen mit Getreide oder Leindotter, mindestens 30 % Anteil Leguminosen bei der Ernte (zur Körnergewinnung)"/>
    <s v="Mixtures of beans, vetch, peas, chickpeas, and lupins with cereals or camelina, minimum 30% legumes at harvest (for grain)"/>
    <s v="Méteil de haricots, de vesces, de pois, de pois chiches et de lupins avec des céréales ou de la caméline, au moins 30 % de légumineuses lors de la récolte (pour la production de grains)"/>
    <s v="Miscele di fagioli, vecce, piselli, ceci e lupini con cereali o camelina sativa, almeno il 30% di quota di leguminose nel raccolto (per l’estrazione di granelli)"/>
    <m/>
    <m/>
    <n v="0"/>
    <n v="0"/>
    <n v="0"/>
    <x v="45"/>
    <s v="Mixed Legumes"/>
    <x v="7"/>
    <x v="0"/>
    <x v="1"/>
    <n v="817.88447543620487"/>
    <n v="5617567"/>
  </r>
  <r>
    <n v="570"/>
    <s v="Mischungen von Linsen mit Getreide oder Leindotter, mindestens 30 % Anteil Linsen bei der Ernte (zur Körnergewinnung)"/>
    <s v="Mixtures of lentils with cereals or camelina, minimum 30% lentils at harvest (for grain)"/>
    <s v="Méteil de lentilles avec des céréales ou de la caméline, au moins 30 % de lentilles lors de la récolte (pour la production de grains)"/>
    <s v="Miscele di lenticchie con cereali o camelina sativa, almeno il 30% di quota di lenticchie nel raccolto (per l’estrazione di granelli)"/>
    <n v="2023"/>
    <m/>
    <n v="0"/>
    <n v="0"/>
    <n v="0"/>
    <x v="45"/>
    <s v="Mixed Legumes"/>
    <x v="7"/>
    <x v="0"/>
    <x v="1"/>
    <n v="64.868166666666667"/>
    <n v="0"/>
  </r>
  <r>
    <n v="572"/>
    <s v="Nützlingsstreifen auf offener Ackerfläche"/>
    <s v="Conservation headlands on open arable land"/>
    <s v="avec des céréales ou de la caméline, au moins 30 % de lentilles lors de la récolte (pour la production de grains)"/>
    <s v="Strisce per organismi utili sulla superficie coltiva aperta"/>
    <m/>
    <m/>
    <n v="0"/>
    <n v="0"/>
    <n v="0"/>
    <x v="41"/>
    <s v="Fallow"/>
    <x v="9"/>
    <x v="0"/>
    <x v="0"/>
    <n v="259.18774399517821"/>
    <n v="1404241"/>
  </r>
  <r>
    <n v="573"/>
    <s v="Senf"/>
    <s v="Mustard"/>
    <s v="Moutarde"/>
    <s v="Senape"/>
    <m/>
    <m/>
    <n v="0"/>
    <n v="0"/>
    <n v="0"/>
    <x v="46"/>
    <s v="Minor Oilseeds"/>
    <x v="5"/>
    <x v="0"/>
    <x v="0"/>
    <n v="50.364582142857145"/>
    <n v="204170.5"/>
  </r>
  <r>
    <n v="574"/>
    <s v="Quinoa"/>
    <s v="Quinoa"/>
    <s v="Quinoa"/>
    <s v="Quinoa"/>
    <m/>
    <m/>
    <n v="0"/>
    <n v="0"/>
    <n v="0"/>
    <x v="47"/>
    <s v="Vegetables"/>
    <x v="6"/>
    <x v="0"/>
    <x v="0"/>
    <n v="23.678292857142857"/>
    <n v="272839.5"/>
  </r>
  <r>
    <n v="575"/>
    <s v="Hanf zur Nutzung der Samen"/>
    <s v="Hemp for seed use"/>
    <s v="Chanvre pour l’utilisation des graines"/>
    <s v="Canapa per i semi"/>
    <n v="2022"/>
    <m/>
    <n v="0"/>
    <n v="0"/>
    <n v="0"/>
    <x v="22"/>
    <s v="Special Crops"/>
    <x v="6"/>
    <x v="0"/>
    <x v="0"/>
    <n v="42.318087499999997"/>
    <n v="0"/>
  </r>
  <r>
    <n v="576"/>
    <s v="Hanf zur Fasernutzung"/>
    <s v="Hemp for fiber use"/>
    <s v="Chanvre pour l’utilisation des fibres"/>
    <s v="Canapa da fibra"/>
    <n v="2022"/>
    <m/>
    <n v="0"/>
    <n v="0"/>
    <n v="0"/>
    <x v="22"/>
    <s v="Special Crops"/>
    <x v="6"/>
    <x v="0"/>
    <x v="0"/>
    <n v="1.6148750000000001"/>
    <n v="0"/>
  </r>
  <r>
    <n v="577"/>
    <s v="Anderer Hanf"/>
    <s v="Other hemp"/>
    <s v="Autre chanvre"/>
    <s v="Altra canapa"/>
    <n v="2022"/>
    <m/>
    <n v="0"/>
    <n v="0"/>
    <n v="0"/>
    <x v="22"/>
    <s v="Special Crops"/>
    <x v="6"/>
    <x v="0"/>
    <x v="0"/>
    <n v="18.403549999999999"/>
    <n v="0"/>
  </r>
  <r>
    <n v="578"/>
    <s v="Hirse zur Körnergewinnung"/>
    <s v="Millet for grain"/>
    <s v="Millet grains"/>
    <s v="Miglio per l’estrazione di gra-nelli"/>
    <n v="2023"/>
    <m/>
    <n v="0"/>
    <n v="0"/>
    <n v="0"/>
    <x v="29"/>
    <s v="Millet"/>
    <x v="2"/>
    <x v="0"/>
    <x v="0"/>
    <n v="265.81365720083738"/>
    <n v="0"/>
  </r>
  <r>
    <n v="579"/>
    <s v="Hirse zur Nutzung ganze Pflanze"/>
    <s v="Millet for whole-plant use"/>
    <s v="Millet plante entière"/>
    <s v="Miglio per la raccolta della pianta intera"/>
    <n v="2023"/>
    <m/>
    <n v="0"/>
    <n v="0"/>
    <n v="0"/>
    <x v="29"/>
    <s v="Millet"/>
    <x v="2"/>
    <x v="0"/>
    <x v="0"/>
    <n v="9.9090666666666678"/>
    <n v="0"/>
  </r>
  <r>
    <n v="580"/>
    <s v="Sorghum zur Körnergewinnung"/>
    <s v="Sorghum for grain"/>
    <s v="Sorgho grains"/>
    <s v="Sorgo per l’estrazione di gra-nelli"/>
    <n v="2023"/>
    <m/>
    <n v="0"/>
    <n v="0"/>
    <n v="0"/>
    <x v="35"/>
    <s v="Sorghum"/>
    <x v="2"/>
    <x v="0"/>
    <x v="0"/>
    <n v="28.63955"/>
    <n v="0"/>
  </r>
  <r>
    <n v="581"/>
    <s v="Sorghum zur Nutzung ganze Pflanze"/>
    <s v="Sorghum for whole-plant use"/>
    <s v="Sorgho plante entière"/>
    <s v="Sorgo per la raccolta della pianta intera"/>
    <n v="2023"/>
    <m/>
    <n v="0"/>
    <n v="0"/>
    <n v="0"/>
    <x v="35"/>
    <s v="Sorghum"/>
    <x v="2"/>
    <x v="0"/>
    <x v="0"/>
    <n v="338.12133333333333"/>
    <n v="0"/>
  </r>
  <r>
    <n v="590"/>
    <s v="Sommerraps als nachwachsender Rohstoff"/>
    <s v="Spring rapeseed as renewable raw material"/>
    <s v="Colza de printemps comme matière première renouvelable"/>
    <s v="Colza primaverile quale materia prima rinnovabile"/>
    <m/>
    <m/>
    <n v="0"/>
    <n v="0"/>
    <n v="0"/>
    <x v="17"/>
    <s v="Rapeseed"/>
    <x v="5"/>
    <x v="0"/>
    <x v="0"/>
    <n v="2.4104874999999999"/>
    <n v="66186.5"/>
  </r>
  <r>
    <n v="591"/>
    <s v="Winterraps als nachwachsender Rohstoff"/>
    <s v="Winter rapeseed as renewable raw material"/>
    <s v="Colza d’automne comme matière première renouvelable"/>
    <s v="Colza autunnale quale materia prima rinnovabile"/>
    <m/>
    <m/>
    <n v="0"/>
    <n v="0"/>
    <n v="0"/>
    <x v="18"/>
    <s v="Rapeseed"/>
    <x v="5"/>
    <x v="0"/>
    <x v="0"/>
    <n v="105.79987142857144"/>
    <n v="505581"/>
  </r>
  <r>
    <n v="592"/>
    <s v="Sonnenblumen als nachwachsender Rohstoff"/>
    <s v="Sunflower as renewable raw material"/>
    <s v="Tournesol comme matière première renouvelable"/>
    <s v="Girasole quale materia prima rinnovabile"/>
    <m/>
    <m/>
    <n v="0"/>
    <n v="0"/>
    <n v="0"/>
    <x v="20"/>
    <s v="Sunflower"/>
    <x v="5"/>
    <x v="0"/>
    <x v="0"/>
    <n v="31.498671428571427"/>
    <n v="381388"/>
  </r>
  <r>
    <n v="594"/>
    <s v="Offene Ackerfläche, beitragsberechtigt (regionsspezifische Biodiversitätsförderfläche)"/>
    <s v="Eligible open arable land (region-specific biodiversity promotion)"/>
    <s v="Terres ouvertes donnant droit aux contributions (surfaces de promotion de la biodiversité spécifiques à la région)"/>
    <s v="Superficie coltiva aperta, avente diritto ai contributi (superfici per la promozione della biodiversità specifiche di una regione)"/>
    <m/>
    <m/>
    <n v="0"/>
    <n v="1"/>
    <n v="0"/>
    <x v="41"/>
    <s v="Fallow"/>
    <x v="9"/>
    <x v="0"/>
    <x v="0"/>
    <n v="22.34327857142857"/>
    <n v="277599"/>
  </r>
  <r>
    <n v="595"/>
    <s v="Übrige offene Ackerfläche, nicht beitragsberechtigt (regionsspezifische Biodiversitätsförderfläche)"/>
    <s v="Other open arable land, not eligible"/>
    <s v="Autres terres ouvertes ne donnant pas droit aux contributions (surfaces de promotion de la biodiversité spécifiques à la région)"/>
    <s v="Altra superficie coltiva aperta, non avente diritto ai contributi (superfici per la promozione della biodiversità specifiche di una regione)"/>
    <m/>
    <m/>
    <n v="0"/>
    <n v="1"/>
    <n v="0"/>
    <x v="41"/>
    <s v="Fallow"/>
    <x v="9"/>
    <x v="0"/>
    <x v="0"/>
    <n v="68.491832796780685"/>
    <n v="38798"/>
  </r>
  <r>
    <n v="597"/>
    <s v="Übrige offene Ackerfläche, beitragsberechtigt"/>
    <s v="Other open arable land, eligible"/>
    <s v="Autres terres ouvertes avec contributions"/>
    <s v="Altra superficie coltiva aperta, con contributi"/>
    <m/>
    <m/>
    <n v="0"/>
    <n v="0"/>
    <n v="0"/>
    <x v="41"/>
    <s v="Fallow"/>
    <x v="9"/>
    <x v="0"/>
    <x v="0"/>
    <n v="338.16061480616185"/>
    <n v="1874829.276904247"/>
  </r>
  <r>
    <n v="598"/>
    <s v="Übrige offene Ackerfläche, nicht beitragsberechtigt"/>
    <s v="Other open arable land, not eligible"/>
    <s v="Autres terres ouvertes sans contributions"/>
    <s v="Altra superficie coltiva aperta, senza contributi"/>
    <m/>
    <m/>
    <n v="0"/>
    <n v="0"/>
    <n v="0"/>
    <x v="41"/>
    <s v="Fallow"/>
    <x v="9"/>
    <x v="0"/>
    <x v="0"/>
    <n v="229.68000773748844"/>
    <n v="2209944.0045871539"/>
  </r>
  <r>
    <n v="601"/>
    <s v="Kunstwiesen (ohne Weiden)"/>
    <s v="Artificial grasslands (excluding pastures)"/>
    <s v="Prairies artificielles (sans les pâturages)"/>
    <s v="Prati artificiali (senza pascoli)"/>
    <m/>
    <m/>
    <n v="0"/>
    <n v="0"/>
    <n v="0"/>
    <x v="48"/>
    <s v="Ley"/>
    <x v="9"/>
    <x v="0"/>
    <x v="0"/>
    <n v="104713.85183571752"/>
    <n v="624837125.25544119"/>
  </r>
  <r>
    <n v="602"/>
    <s v="Übrige Kunstwiese, beitragsberechtigt (z.B. Schweineweide, Geflügelweide)"/>
    <s v="Other artificial grasslands, eligible for contributions (e.g. pig and poultry pastures)"/>
    <s v="Autres prairies artificielles donnant droit aux contributions (p.ex. pâturages pour porcs et volaille)"/>
    <s v="Altri prati artificiali avente diritto ai contributi (p.es. pascoli riservati ai suini e al pollame)"/>
    <m/>
    <m/>
    <n v="0"/>
    <n v="0"/>
    <n v="0"/>
    <x v="48"/>
    <s v="Ley"/>
    <x v="9"/>
    <x v="0"/>
    <x v="0"/>
    <n v="540.25064411424466"/>
    <n v="2822784.4445141042"/>
  </r>
  <r>
    <n v="611"/>
    <s v="Extensiv genutzte Wiesen (ohne Weiden)"/>
    <s v="Extensively managed meadows (excluding pastures)"/>
    <s v="Prairies extensives (sans les pâturages)"/>
    <s v="Prati estensivi (senza pascoli)"/>
    <m/>
    <m/>
    <n v="0"/>
    <n v="1"/>
    <n v="0"/>
    <x v="49"/>
    <s v="Extensive Meadow"/>
    <x v="10"/>
    <x v="2"/>
    <x v="0"/>
    <n v="84051.032464535136"/>
    <n v="655822930.19976246"/>
  </r>
  <r>
    <n v="612"/>
    <s v="Wenig intensiv genutzte Wiesen (ohne Weiden)"/>
    <s v="Low-intensity managed meadows (excluding pastures)"/>
    <s v="Prairies peu intensives (sans les pâturages)"/>
    <s v="Prati poco intensivi (senza pascoli)"/>
    <m/>
    <m/>
    <n v="0"/>
    <n v="1"/>
    <n v="0"/>
    <x v="50"/>
    <s v="Less Intensive Meadow"/>
    <x v="10"/>
    <x v="2"/>
    <x v="0"/>
    <n v="14028.378388133464"/>
    <n v="84496722.586626738"/>
  </r>
  <r>
    <n v="613"/>
    <s v="Übrige Dauerwiesen (ohne Weiden)"/>
    <s v="Other permanent meadows (excluding pastures)"/>
    <s v="Autres prairies permanentes (sans les pâturages)"/>
    <s v="Altri prati perenni (senza pascoli)"/>
    <m/>
    <m/>
    <n v="0"/>
    <n v="0"/>
    <n v="0"/>
    <x v="51"/>
    <s v="Intensive Meadow"/>
    <x v="10"/>
    <x v="2"/>
    <x v="0"/>
    <n v="342217.73703514365"/>
    <n v="2797029392.5412984"/>
  </r>
  <r>
    <n v="616"/>
    <s v="Weiden (Heimweiden, übrige Weiden ohne Sömmerungsweiden)"/>
    <s v="Pastures (farm pastures, other pastures excluding summer pastures)"/>
    <s v="Pâturages (pâturages attenants à la ferme, autres pâturages sauf les pâturages d’estivage)"/>
    <s v="Pascoli (pascoli propri, altri pascoli senza pascoli d’estivazione)"/>
    <m/>
    <m/>
    <n v="0"/>
    <n v="0"/>
    <n v="0"/>
    <x v="52"/>
    <s v="Intensive Pasture"/>
    <x v="11"/>
    <x v="2"/>
    <x v="0"/>
    <n v="91503.758945230933"/>
    <n v="766127174.1801703"/>
  </r>
  <r>
    <n v="617"/>
    <s v="Extensiv genutzte Weiden"/>
    <s v="Extensively managed pastures"/>
    <s v="Pâturages extensifs"/>
    <s v="Pascoli estensivi"/>
    <m/>
    <m/>
    <n v="0"/>
    <n v="1"/>
    <n v="0"/>
    <x v="53"/>
    <s v="Extensive Pasture"/>
    <x v="11"/>
    <x v="2"/>
    <x v="0"/>
    <n v="46759.543370237712"/>
    <n v="299770455.16748112"/>
  </r>
  <r>
    <n v="618"/>
    <s v="Waldweiden (ohne bewaldete Fläche)"/>
    <s v="Wooded pastures (excluding forested area)"/>
    <s v="Pâturages boisés (sauf surfaces boisées)"/>
    <s v="Pascoli boschivi (senza i boschi)"/>
    <m/>
    <m/>
    <n v="0"/>
    <n v="1"/>
    <n v="0"/>
    <x v="54"/>
    <s v="Forest Pasture"/>
    <x v="11"/>
    <x v="2"/>
    <x v="0"/>
    <n v="6366.9712172867903"/>
    <n v="28094700.097777557"/>
  </r>
  <r>
    <n v="621"/>
    <s v="Heuwiesen im Sömmerungsgebiet, Übrige Wiesen"/>
    <s v="Hay meadows in summer-grazing regions, other meadows"/>
    <s v="Prairies de fauche en région d’estivage, autres"/>
    <s v="Prati da sfalcio nella regione d’estivazione, altri prati"/>
    <m/>
    <m/>
    <n v="0"/>
    <n v="0"/>
    <n v="0"/>
    <x v="51"/>
    <s v="Intensive Meadow"/>
    <x v="10"/>
    <x v="2"/>
    <x v="0"/>
    <n v="905.4028571428571"/>
    <n v="7588461.5"/>
  </r>
  <r>
    <n v="622"/>
    <s v="Heuwiesen im Sömmerungsgebiet, Typ extensiv genutzte Wiese"/>
    <s v="Hay meadows in summer-grazing regions, extensively managed type"/>
    <s v="Prairies de fauche en région d’estivage, type prairie extensive"/>
    <s v="Prati da sfalcio nella regione d’estivazione, tipo prati sfruttati in modo estensivo"/>
    <m/>
    <m/>
    <n v="0"/>
    <n v="1"/>
    <n v="0"/>
    <x v="49"/>
    <s v="Extensive Meadow"/>
    <x v="10"/>
    <x v="2"/>
    <x v="0"/>
    <n v="978.29802142857147"/>
    <n v="8787853.5"/>
  </r>
  <r>
    <n v="623"/>
    <s v="Heuwiesen im Sömmerungsgebiet, Typ wenig intensiv genutzte Wiese"/>
    <s v="Hay meadows in summer-grazing regions, low-intensity managed type"/>
    <s v="Prairies de fauche en région d’estivage, type prairie peu intensive"/>
    <s v="Prati da sfalcio nella regione d’estivazione, tipo prati sfruttati in modo poco intensivo"/>
    <m/>
    <m/>
    <n v="0"/>
    <n v="1"/>
    <n v="0"/>
    <x v="50"/>
    <s v="Less Intensive Meadow"/>
    <x v="10"/>
    <x v="2"/>
    <x v="0"/>
    <n v="288.11752857142858"/>
    <n v="2292586.5"/>
  </r>
  <r>
    <n v="625"/>
    <s v="Waldweiden (ohne bewaldete Fläche)"/>
    <s v="Wooded pastures (excluding forested area)"/>
    <s v="Pâturages boisés (sauf surfaces boisées)"/>
    <s v="Pascoli boschivi (senza i boschi)"/>
    <m/>
    <m/>
    <n v="0"/>
    <n v="0"/>
    <n v="0"/>
    <x v="54"/>
    <s v="Forest Pasture"/>
    <x v="11"/>
    <x v="2"/>
    <x v="0"/>
    <n v="3023.2251895531895"/>
    <n v="12956286.129032254"/>
  </r>
  <r>
    <n v="631"/>
    <s v="Futterleguminosen für die Samenproduktion (Vertragsanbau)"/>
    <s v="Forage legumes for seed production (contract farming)"/>
    <s v="Légumineuses fourragères destinées à la production de semences (contrat de culture)"/>
    <s v="Leguminose da foraggio per la produzione di sementi (coltivazione contrattuale)"/>
    <m/>
    <m/>
    <n v="0"/>
    <n v="0"/>
    <n v="0"/>
    <x v="48"/>
    <s v="Ley"/>
    <x v="9"/>
    <x v="0"/>
    <x v="0"/>
    <n v="274.78955928571423"/>
    <n v="2705623.5"/>
  </r>
  <r>
    <n v="632"/>
    <s v="Futtergräser für die Samenproduktion (Vertragsanbau)"/>
    <s v="Forage grasses for seed production (contract farming)"/>
    <s v="Graminées fourragères destinées à la production de semences (contrat de culture)"/>
    <s v="Graminacee da foraggio per la produzione di sementi (coltivazione contrattuale)"/>
    <m/>
    <m/>
    <n v="0"/>
    <n v="0"/>
    <n v="0"/>
    <x v="48"/>
    <s v="Ley"/>
    <x v="9"/>
    <x v="0"/>
    <x v="0"/>
    <n v="170.16036023221636"/>
    <n v="1145937.5"/>
  </r>
  <r>
    <n v="634"/>
    <s v="Uferwiesen entlang von Fliessgewässern (ohne Weiden)"/>
    <s v="Riparian meadows along flowing waters (excluding pastures)"/>
    <s v="Prairies riveraines d’un cours d’eau (sauf les pâturages)"/>
    <s v="Prati rivieraschi lungo i corsi d'acqua (senza pascoli)"/>
    <m/>
    <n v="2022"/>
    <n v="0"/>
    <n v="1"/>
    <n v="0"/>
    <x v="49"/>
    <s v="Extensive Meadow"/>
    <x v="10"/>
    <x v="2"/>
    <x v="0"/>
    <n v="140.64303487363696"/>
    <n v="1123401.6808510632"/>
  </r>
  <r>
    <n v="635"/>
    <s v="Uferwiesen (ohne Weiden)"/>
    <s v="Riparian meadows (excluding pastures)"/>
    <s v="Prairies riveraines (sauf les pâturages)"/>
    <s v="Prati rivieraschi (senza pascoli)"/>
    <n v="2023"/>
    <m/>
    <n v="0"/>
    <n v="1"/>
    <n v="0"/>
    <x v="49"/>
    <s v="Extensive Meadow"/>
    <x v="10"/>
    <x v="2"/>
    <x v="0"/>
    <n v="432.90644982097774"/>
    <n v="0"/>
  </r>
  <r>
    <n v="650"/>
    <s v="Übrige Dauerwiesen, beitragsberechtigt aggregiert"/>
    <s v="Other permanent meadows, eligible for contributions (aggregated)"/>
    <s v="Autres prairies permanentes, avec contributions, agrégée"/>
    <s v="Altra superficie inerbita, con contributi, aggregata"/>
    <m/>
    <n v="2022"/>
    <n v="0"/>
    <n v="0"/>
    <n v="0"/>
    <x v="36"/>
    <m/>
    <x v="8"/>
    <x v="1"/>
    <x v="1"/>
    <n v="0"/>
    <m/>
  </r>
  <r>
    <n v="660"/>
    <s v="Übrige Dauerweiden, beitragsberechtigt aggregiert"/>
    <s v="Other permanent pastures, eligible for contributions (aggregated)"/>
    <s v="Autres pâturages permanentes, avec contributions, agrégée"/>
    <s v="Altri pascoli perenni, con contributi, aggregata"/>
    <m/>
    <n v="2022"/>
    <n v="0"/>
    <n v="0"/>
    <n v="0"/>
    <x v="52"/>
    <s v="Intensive Pasture"/>
    <x v="11"/>
    <x v="2"/>
    <x v="0"/>
    <n v="0.16105714285714287"/>
    <n v="2868.5"/>
  </r>
  <r>
    <n v="693"/>
    <s v="Regionsspezifische Biodiversitätsförderflächen (Weiden)"/>
    <s v="Region-specific biodiversity promotion areas (pastures)"/>
    <s v="Surfaces de promotion de la biodiversité spécifiques à la région (pâturages)"/>
    <s v="Superfici per la promozione della biodiversità specifiche di una regione (pascoli)"/>
    <m/>
    <m/>
    <n v="0"/>
    <n v="1"/>
    <n v="0"/>
    <x v="53"/>
    <s v="Extensive Pasture"/>
    <x v="11"/>
    <x v="2"/>
    <x v="0"/>
    <n v="39.68185714285714"/>
    <n v="202370"/>
  </r>
  <r>
    <n v="694"/>
    <s v="Regionsspezifische Biodiversitätsförderfläche (Grünflächen ohne Weiden)"/>
    <s v="Region-specific biodiversity promotion areas (grasslands excluding pastures)"/>
    <s v="Surfaces de promotion de la biodiversité spécifiques à la région (Surface herbagère, sauf les pâturages)"/>
    <s v="Superfici per la promozione della biodiversità specifiche di una regione (superfici inerbite, senza pascoli)"/>
    <m/>
    <m/>
    <n v="0"/>
    <n v="1"/>
    <n v="0"/>
    <x v="49"/>
    <s v="Extensive Meadow"/>
    <x v="10"/>
    <x v="2"/>
    <x v="0"/>
    <n v="2941.1531020254765"/>
    <n v="1795302"/>
  </r>
  <r>
    <n v="697"/>
    <s v="Übrige Grünfläche (Dauergrünfläche), beitragsberechtigt"/>
    <s v="Other grassland (permanent grassland), eligible for contributions"/>
    <s v="Autres surfaces herbagères (surface herbagère permanente) avec contributions"/>
    <s v="Altre superfici (permanentemente) inerbite, con contributi"/>
    <m/>
    <m/>
    <n v="0"/>
    <n v="0"/>
    <n v="0"/>
    <x v="51"/>
    <s v="Intensive Meadow"/>
    <x v="10"/>
    <x v="2"/>
    <x v="0"/>
    <n v="258.88081789148288"/>
    <n v="1923218.7083333326"/>
  </r>
  <r>
    <n v="698"/>
    <s v="Übrige Grünfläche (Dauergrünflächen), nicht beitragsberechtigt"/>
    <s v="Other grassland (permanent grassland), not eligible for contributions"/>
    <s v="Autres surfaces herbagères (surface herbagère permanente) sans contributions"/>
    <s v="Altre superfici (permanentemente) inerbite, senza contributi"/>
    <m/>
    <m/>
    <n v="0"/>
    <n v="0"/>
    <n v="0"/>
    <x v="51"/>
    <s v="Intensive Meadow"/>
    <x v="10"/>
    <x v="2"/>
    <x v="0"/>
    <n v="644.11448429844836"/>
    <n v="6197593.4126984132"/>
  </r>
  <r>
    <n v="701"/>
    <s v="Reben"/>
    <s v="Vineyards"/>
    <s v="Vignes"/>
    <s v="Vigna"/>
    <m/>
    <m/>
    <n v="0"/>
    <n v="0"/>
    <n v="1"/>
    <x v="55"/>
    <s v="Vines"/>
    <x v="12"/>
    <x v="3"/>
    <x v="0"/>
    <n v="7885.3971952557295"/>
    <n v="54667445.567159131"/>
  </r>
  <r>
    <n v="702"/>
    <s v="Obstanlagen (Äpfel)"/>
    <s v="Fruit orchards (apples)"/>
    <s v="Cultures fruitières (pommes)"/>
    <s v="Frutteto (mele)"/>
    <m/>
    <m/>
    <n v="0"/>
    <n v="0"/>
    <n v="1"/>
    <x v="56"/>
    <s v="Tree Crops"/>
    <x v="12"/>
    <x v="3"/>
    <x v="0"/>
    <n v="3724.4957920731567"/>
    <n v="31309097.81456456"/>
  </r>
  <r>
    <n v="703"/>
    <s v="Obstanlagen (Birnen)"/>
    <s v="Fruit orchards (pears)"/>
    <s v="Cultures fruitières (poires)"/>
    <s v="Frutteto (pere)"/>
    <m/>
    <m/>
    <n v="0"/>
    <n v="0"/>
    <n v="1"/>
    <x v="57"/>
    <s v="Tree Crops"/>
    <x v="12"/>
    <x v="3"/>
    <x v="0"/>
    <n v="719.9364198236982"/>
    <n v="4585828.5611729706"/>
  </r>
  <r>
    <n v="704"/>
    <s v="Obstanlagen (Steinobst)"/>
    <s v="Fruit orchards (stone fruits)"/>
    <s v="Cultures fruitières (fruits à noyau)"/>
    <s v="Frutteto (frutta a nocciolo)"/>
    <m/>
    <m/>
    <n v="0"/>
    <n v="0"/>
    <n v="1"/>
    <x v="58"/>
    <s v="Tree Crops"/>
    <x v="12"/>
    <x v="3"/>
    <x v="0"/>
    <n v="1580.3258393863066"/>
    <n v="10398999.311300637"/>
  </r>
  <r>
    <n v="705"/>
    <s v="Mehrjährige Beeren"/>
    <s v="Perennial berries"/>
    <s v="Baies pluriannuelles"/>
    <s v="Bacche pluriennali"/>
    <m/>
    <m/>
    <n v="0"/>
    <n v="0"/>
    <n v="1"/>
    <x v="59"/>
    <s v="Perennial Berries"/>
    <x v="13"/>
    <x v="3"/>
    <x v="0"/>
    <n v="587.84841504868666"/>
    <n v="5139811.6117312079"/>
  </r>
  <r>
    <n v="706"/>
    <s v="Mehrjährige Gewürz- und Medizinalpflanzen"/>
    <s v="Perennial spice and medicinal plants"/>
    <s v="Plantes aromatiques et plantes médicinales pluriannuelles"/>
    <s v="Piante aromatiche e medicinali pluriennali"/>
    <m/>
    <m/>
    <n v="0"/>
    <n v="0"/>
    <n v="1"/>
    <x v="60"/>
    <s v="Perennial Spices"/>
    <x v="13"/>
    <x v="3"/>
    <x v="0"/>
    <n v="201.99794814810815"/>
    <n v="1304229.5"/>
  </r>
  <r>
    <n v="707"/>
    <s v="Mehrjährige nachwachsende Rohstoffe (Chinaschilf, usw.)"/>
    <s v="Perennial renewable raw materials (e.g. miscanthus)"/>
    <s v="Matières premières renouvelables pluriannuelles (roseau de Chine, etc.)"/>
    <s v="Materie prime rinnovabili pluriennali (Miscanthus sin. ecc.)"/>
    <m/>
    <m/>
    <n v="0"/>
    <n v="0"/>
    <n v="0"/>
    <x v="61"/>
    <s v="Perennial Special Crops"/>
    <x v="13"/>
    <x v="3"/>
    <x v="0"/>
    <n v="67.779301560828657"/>
    <n v="786281"/>
  </r>
  <r>
    <n v="708"/>
    <s v="Hopfen"/>
    <s v="Hops"/>
    <s v="Houblon"/>
    <s v="Luppolo"/>
    <m/>
    <m/>
    <n v="0"/>
    <n v="0"/>
    <n v="1"/>
    <x v="62"/>
    <s v="Perennial Special Crops"/>
    <x v="13"/>
    <x v="3"/>
    <x v="0"/>
    <n v="19.695412124199326"/>
    <n v="205294.22400796495"/>
  </r>
  <r>
    <n v="709"/>
    <s v="Rhabarber"/>
    <s v="Rhubarb"/>
    <s v="Rhubarbe"/>
    <s v="Rabarbaro"/>
    <m/>
    <m/>
    <n v="0"/>
    <n v="0"/>
    <n v="1"/>
    <x v="63"/>
    <s v="Perennial Vegetables"/>
    <x v="13"/>
    <x v="3"/>
    <x v="0"/>
    <n v="105.85184181478138"/>
    <n v="1048649.6023125416"/>
  </r>
  <r>
    <n v="710"/>
    <s v="Spargel"/>
    <s v="Asparagus"/>
    <s v="Asperges"/>
    <s v="Asparagi"/>
    <m/>
    <m/>
    <n v="0"/>
    <n v="0"/>
    <n v="1"/>
    <x v="64"/>
    <s v="Perennial Vegetables"/>
    <x v="13"/>
    <x v="3"/>
    <x v="0"/>
    <n v="448.53587961961534"/>
    <n v="3948135.1937188967"/>
  </r>
  <r>
    <n v="711"/>
    <s v="Pilze (Freiland)"/>
    <s v="Mushrooms (open field)"/>
    <s v="Champignons en pleine terre"/>
    <s v="Funghi (in pieno campo)"/>
    <m/>
    <m/>
    <n v="0"/>
    <n v="0"/>
    <n v="1"/>
    <x v="36"/>
    <m/>
    <x v="8"/>
    <x v="1"/>
    <x v="1"/>
    <n v="0.26866428571428574"/>
    <n v="916.5"/>
  </r>
  <r>
    <n v="712"/>
    <s v="Christbäume"/>
    <s v="Christmas trees"/>
    <s v="Sapins de Noël"/>
    <s v="Alberelli di Natale"/>
    <m/>
    <m/>
    <n v="0"/>
    <n v="0"/>
    <n v="0"/>
    <x v="65"/>
    <s v="Forest"/>
    <x v="14"/>
    <x v="4"/>
    <x v="0"/>
    <n v="659.38288226136331"/>
    <n v="6784344.5"/>
  </r>
  <r>
    <n v="713"/>
    <s v="Baumschule von Forstpflanzen ausserhalb der Forstzone"/>
    <s v="Forest plant nurseries outside forest zones"/>
    <s v="Pépinières de plantes forestières hors zone forestière"/>
    <s v="Vivai forestali fuori delle zone forestali"/>
    <m/>
    <m/>
    <n v="0"/>
    <n v="0"/>
    <n v="0"/>
    <x v="66"/>
    <s v="Nursery"/>
    <x v="15"/>
    <x v="3"/>
    <x v="1"/>
    <n v="64.273642857142846"/>
    <n v="553191"/>
  </r>
  <r>
    <n v="714"/>
    <s v="Ziersträucher, Ziergehölze und Zierstauden"/>
    <s v="Ornamental shrubs, woody ornamentals and perennials"/>
    <s v="Buissons, arbrisseaux et arbustes ornementaux"/>
    <s v="Arbusti, arboscelli, cespugli ornamentali"/>
    <m/>
    <m/>
    <n v="0"/>
    <n v="0"/>
    <n v="0"/>
    <x v="36"/>
    <m/>
    <x v="8"/>
    <x v="1"/>
    <x v="1"/>
    <n v="148.12741428571431"/>
    <n v="1339067"/>
  </r>
  <r>
    <n v="715"/>
    <s v="Übrige Baumschulen (Rosen, Früchte, usw.)"/>
    <s v="Other nurseries (roses, fruit trees, etc.)"/>
    <s v="Autres pépinières (roses, fruits, etc.)"/>
    <s v="Altri vivai (rose, frutta, ecc.)"/>
    <m/>
    <n v="2022"/>
    <n v="0"/>
    <n v="0"/>
    <n v="0"/>
    <x v="66"/>
    <s v="Nursery"/>
    <x v="15"/>
    <x v="3"/>
    <x v="1"/>
    <n v="403.44713950635224"/>
    <n v="3412924.5"/>
  </r>
  <r>
    <n v="717"/>
    <s v="Rebflächen mit natürlicher Artenvielfalt"/>
    <s v="Vineyard areas with natural biodiversity"/>
    <s v="Surfaces viticoles présentant une biodiversité naturelle"/>
    <s v="Vigneti con biodiversità naturale"/>
    <m/>
    <m/>
    <n v="0"/>
    <n v="1"/>
    <n v="1"/>
    <x v="55"/>
    <s v="Vines"/>
    <x v="12"/>
    <x v="3"/>
    <x v="0"/>
    <n v="4031.8841535003698"/>
    <n v="16867029.209003974"/>
  </r>
  <r>
    <n v="718"/>
    <s v="Trüffelanlagen"/>
    <s v="Truffle plantations"/>
    <s v="Truffières"/>
    <s v="Tartufaie"/>
    <m/>
    <m/>
    <n v="0"/>
    <n v="0"/>
    <n v="0"/>
    <x v="36"/>
    <m/>
    <x v="8"/>
    <x v="1"/>
    <x v="1"/>
    <n v="38.679935714285719"/>
    <n v="264798.5"/>
  </r>
  <r>
    <n v="719"/>
    <s v="Maulbeerbaumanlagen (Fütterung Seidenraupen)"/>
    <s v="Mulberry plantations (feeding silkworms)"/>
    <s v="Cultures de mûriers (alimentation des vers à soie)"/>
    <s v="Coltivazioni di gelsi (foraggiamento dei bachi da seta)"/>
    <m/>
    <m/>
    <n v="0"/>
    <n v="0"/>
    <n v="0"/>
    <x v="36"/>
    <m/>
    <x v="8"/>
    <x v="1"/>
    <x v="1"/>
    <n v="0.96521298701299652"/>
    <n v="11778.136363636586"/>
  </r>
  <r>
    <n v="720"/>
    <s v="Gepflegte Selven (Edelkastanienbäume)"/>
    <s v="Managed chestnut groves"/>
    <s v="Châtaigneraies entretenues (surface)"/>
    <s v="Selve curate (castagni)"/>
    <m/>
    <m/>
    <n v="0"/>
    <n v="0"/>
    <n v="0"/>
    <x v="67"/>
    <s v="Forest"/>
    <x v="14"/>
    <x v="4"/>
    <x v="0"/>
    <n v="366.96475306122454"/>
    <n v="399261"/>
  </r>
  <r>
    <n v="721"/>
    <s v="Mehrjährige gärtnerische Freilandkulturen (nicht im Gewächshaus)"/>
    <s v="Perennial open-field horticultural crops (not in greenhouses)"/>
    <s v="Cultures horticoles pluriannuelles de plein air (pas en serres)"/>
    <s v="Floricoltura di pieno campo pluriennale (non in serra)"/>
    <m/>
    <m/>
    <n v="0"/>
    <n v="0"/>
    <n v="0"/>
    <x v="61"/>
    <s v="Perennial Special Crops"/>
    <x v="13"/>
    <x v="3"/>
    <x v="0"/>
    <n v="15.293807527151195"/>
    <n v="74053"/>
  </r>
  <r>
    <n v="722"/>
    <s v="Baumschulen von Reben"/>
    <s v="Vine nurseries"/>
    <s v="Pépinières viticoles"/>
    <s v="Vivai viticoli"/>
    <m/>
    <m/>
    <n v="0"/>
    <n v="0"/>
    <n v="0"/>
    <x v="66"/>
    <s v="Nursery"/>
    <x v="15"/>
    <x v="3"/>
    <x v="1"/>
    <n v="24.959292857142859"/>
    <n v="142617"/>
  </r>
  <r>
    <n v="723"/>
    <s v="Baumschulen von Obst und Beeren"/>
    <s v="Fruit and berry tree nurseries"/>
    <s v="Pépinière de fruits et de baies"/>
    <s v="Vivaio di alberi da frutto e bacche"/>
    <n v="2023"/>
    <m/>
    <n v="0"/>
    <n v="0"/>
    <n v="0"/>
    <x v="66"/>
    <s v="Nursery"/>
    <x v="15"/>
    <x v="3"/>
    <x v="1"/>
    <n v="109.44606809747343"/>
    <n v="0"/>
  </r>
  <r>
    <n v="724"/>
    <s v="Übrige Baumschulen (Rosen, Zierstauden, usw.)"/>
    <s v="Other nurseries (roses, ornamental shrubs, etc.)"/>
    <s v="Autres pépinières (rosiers, plantes ornementales, etc.)"/>
    <s v="Altri vivai (rose, arbusti ornamentali, ecc.)"/>
    <n v="2023"/>
    <m/>
    <n v="0"/>
    <n v="0"/>
    <n v="0"/>
    <x v="66"/>
    <s v="Nursery"/>
    <x v="15"/>
    <x v="3"/>
    <x v="1"/>
    <n v="219.86875739887361"/>
    <n v="0"/>
  </r>
  <r>
    <n v="725"/>
    <s v="Permakultur"/>
    <s v="Permaculture"/>
    <s v="Permaculture"/>
    <s v="Permacultura"/>
    <m/>
    <m/>
    <n v="0"/>
    <n v="0"/>
    <n v="1"/>
    <x v="36"/>
    <m/>
    <x v="8"/>
    <x v="1"/>
    <x v="1"/>
    <n v="96.480297069648927"/>
    <n v="0"/>
  </r>
  <r>
    <n v="730"/>
    <s v="Obstanlagen aggregiert"/>
    <s v="Fruit orchards, aggregated"/>
    <s v="Cultures fruitières agrégée"/>
    <s v="Frutteti aggregata"/>
    <m/>
    <m/>
    <n v="0"/>
    <n v="0"/>
    <n v="1"/>
    <x v="68"/>
    <s v="Tree Crops"/>
    <x v="12"/>
    <x v="3"/>
    <x v="0"/>
    <n v="71.162714341773736"/>
    <n v="46592"/>
  </r>
  <r>
    <n v="731"/>
    <s v="Andere Obstanlagen (Kiwis, Holunder usw.)"/>
    <s v="Other fruit orchards (kiwi, elderberry, etc.)"/>
    <s v="Autres cultures fruitières (kiwis, sureau, etc.)"/>
    <s v="Altri frutteti (kiwi, sambuco, ecc.)"/>
    <m/>
    <m/>
    <n v="0"/>
    <n v="0"/>
    <n v="1"/>
    <x v="68"/>
    <s v="Tree Crops"/>
    <x v="12"/>
    <x v="3"/>
    <x v="0"/>
    <n v="171.85456626797492"/>
    <n v="1323445.8083994307"/>
  </r>
  <r>
    <n v="735"/>
    <s v="Reben (regionsspezifische Biodiversitätsförderflächen)"/>
    <s v="Vineyards (region-specific biodiversity promotion areas)"/>
    <s v="Vignes (surfaces de promotion de la biodiversité spécifiques à la ré-gion)"/>
    <s v="Vigna (superfici per la promozione della biodiversità specifiche di una regione)"/>
    <m/>
    <m/>
    <n v="0"/>
    <n v="1"/>
    <n v="1"/>
    <x v="55"/>
    <s v="Vines"/>
    <x v="12"/>
    <x v="3"/>
    <x v="0"/>
    <n v="25.471150000000002"/>
    <n v="48383.5"/>
  </r>
  <r>
    <n v="750"/>
    <s v="Übrige Dauerkulturen, beitragsberechtigt, aggregiert"/>
    <s v="Other perennial crops, eligible for contributions (aggregated)"/>
    <s v="Autres surfaces de cultures pérennes, avec contributions, agrégée"/>
    <s v="Altre colture perenni, con contributi, aggregata"/>
    <m/>
    <m/>
    <n v="0"/>
    <n v="0"/>
    <n v="0"/>
    <x v="36"/>
    <m/>
    <x v="8"/>
    <x v="1"/>
    <x v="1"/>
    <n v="161.9264045059972"/>
    <n v="0"/>
  </r>
  <r>
    <n v="760"/>
    <s v="Dauerkulturen, nicht beitragsberechtigt, aggregiert"/>
    <s v="Perennial crops, not eligible for contributions (aggregated)"/>
    <s v="Surfaces de cultures pérennes, sans contributions, agrégée"/>
    <s v="Colture perenni, senza contributi, aggregata"/>
    <m/>
    <n v="2022"/>
    <n v="0"/>
    <n v="0"/>
    <n v="0"/>
    <x v="36"/>
    <m/>
    <x v="8"/>
    <x v="1"/>
    <x v="1"/>
    <n v="0"/>
    <m/>
  </r>
  <r>
    <n v="797"/>
    <s v="Übrige Flächen mit Dauerkulturen, beitragsberechtigt"/>
    <s v="Other areas with perennial crops, eligible for contributions"/>
    <s v="Autres surfaces de cultures pérennes, avec contributions"/>
    <s v="Altre superfici con colture perenni, con contributi"/>
    <m/>
    <m/>
    <n v="0"/>
    <n v="0"/>
    <n v="0"/>
    <x v="36"/>
    <m/>
    <x v="8"/>
    <x v="1"/>
    <x v="1"/>
    <n v="49.199183174141851"/>
    <n v="294411"/>
  </r>
  <r>
    <n v="798"/>
    <s v="Übrige Flächen mit Dauerkulturen, nicht beitragsberechtigt"/>
    <s v="Other areas with perennial crops, not eligible for contributions"/>
    <s v="Autres surfaces de cultures pérennes, sans contributions"/>
    <s v="Altre superfici con colture perenni, senza contributi"/>
    <m/>
    <m/>
    <n v="0"/>
    <n v="0"/>
    <n v="0"/>
    <x v="36"/>
    <m/>
    <x v="8"/>
    <x v="1"/>
    <x v="1"/>
    <n v="19.582342857142859"/>
    <n v="212704.5"/>
  </r>
  <r>
    <n v="801"/>
    <s v="Gemüsekulturen in Gewächshäusern mit festem Fundament"/>
    <s v="Vegetable crops in greenhouses with permanent foundations"/>
    <s v="Cultures maraîchères sous abri avec fondations permanentes"/>
    <s v="Colture orticole in serre con fondamenta fisse"/>
    <m/>
    <m/>
    <n v="0"/>
    <n v="0"/>
    <n v="1"/>
    <x v="69"/>
    <s v="Greenhouses"/>
    <x v="16"/>
    <x v="3"/>
    <x v="0"/>
    <n v="203.28376428571428"/>
    <n v="1744839.5"/>
  </r>
  <r>
    <n v="802"/>
    <s v="Übrige Spezialkulturen in Gewächshäusern mit festem Fundament"/>
    <s v="Other special crops in greenhouses with permanent foundations"/>
    <s v="Autres cultures spéciales sous abri avec fondations permanentes"/>
    <s v="Altre colture speciali in serre con fondamenta fisse"/>
    <m/>
    <m/>
    <n v="0"/>
    <n v="0"/>
    <n v="1"/>
    <x v="69"/>
    <s v="Greenhouses"/>
    <x v="16"/>
    <x v="3"/>
    <x v="0"/>
    <n v="25.946994374537301"/>
    <n v="284775"/>
  </r>
  <r>
    <n v="803"/>
    <s v="Gärtnerische Kulturen in Gewächshäusern mit festem Fundament"/>
    <s v="Horticultural crops in greenhouses with permanent foundations"/>
    <s v="Cultures horticoles sous abri avec fondations permanentes"/>
    <s v="Floricoltura in serre con fondamenta fisse"/>
    <m/>
    <m/>
    <n v="0"/>
    <n v="0"/>
    <n v="0"/>
    <x v="69"/>
    <s v="Greenhouses"/>
    <x v="16"/>
    <x v="3"/>
    <x v="0"/>
    <n v="25.562692857142856"/>
    <n v="129196"/>
  </r>
  <r>
    <n v="804"/>
    <s v="Beerenkulturen in Gewächshäusern mit festem Fundament"/>
    <s v="Berry crops in greenhouses with permanent foundations"/>
    <s v="Cultures des baies sous serres avec fondations permanentes"/>
    <s v="Colture bacche in serra con fondamenta fisse"/>
    <n v="2023"/>
    <m/>
    <n v="0"/>
    <n v="0"/>
    <n v="1"/>
    <x v="69"/>
    <s v="Greenhouses"/>
    <x v="16"/>
    <x v="3"/>
    <x v="0"/>
    <n v="2.1191166666666668"/>
    <n v="0"/>
  </r>
  <r>
    <n v="806"/>
    <s v="Gemüsekulturen in geschütztem Anbau ohne festes Fundament"/>
    <s v="Vegetable crops in protected cultivation without permanent foundations"/>
    <s v="Cultures maraîchères sous abri sans fondations permanentes"/>
    <s v="Colture orticole in serre senza fondamenta fisse"/>
    <m/>
    <n v="2022"/>
    <n v="0"/>
    <n v="0"/>
    <n v="1"/>
    <x v="69"/>
    <s v="Greenhouses"/>
    <x v="16"/>
    <x v="3"/>
    <x v="0"/>
    <n v="203.79461518161781"/>
    <n v="1730194.8106060624"/>
  </r>
  <r>
    <n v="807"/>
    <s v="Übrige Spezialkulturen in geschütztem Anbau ohne festes Fundament"/>
    <s v="Other special crops in protected cultivation without permanent foundations"/>
    <s v="Autres cultures spéciales sous abri sans fondations permanentes"/>
    <s v="Altre colture speciali in serre senza fondamenta fisse"/>
    <m/>
    <m/>
    <n v="0"/>
    <n v="0"/>
    <n v="1"/>
    <x v="69"/>
    <s v="Greenhouses"/>
    <x v="16"/>
    <x v="3"/>
    <x v="0"/>
    <n v="56.074658848559451"/>
    <n v="644662.5"/>
  </r>
  <r>
    <n v="808"/>
    <s v="Gärtnerische Kulturen in geschütztem Anbau ohne festes Fundament"/>
    <s v="Horticultural crops in protected cultivation without permanent foundations"/>
    <s v="Cultures horticoles sous abri sans fondations permanentes"/>
    <s v="Floricoltura in serre senza fondamenta fisse"/>
    <m/>
    <m/>
    <n v="0"/>
    <n v="0"/>
    <n v="0"/>
    <x v="69"/>
    <s v="Greenhouses"/>
    <x v="16"/>
    <x v="3"/>
    <x v="0"/>
    <n v="26.958665824175831"/>
    <n v="223959.5"/>
  </r>
  <r>
    <n v="810"/>
    <s v="Pilze in geschütztem Anbau mit festem Fundament"/>
    <s v="Mushrooms in protected cultivation with permanent foundations"/>
    <s v="Champignons sous abri avec fondations permanentes"/>
    <s v="Funghi coltivati al coperto con fondamenta fisse"/>
    <m/>
    <m/>
    <n v="0"/>
    <n v="0"/>
    <n v="1"/>
    <x v="69"/>
    <s v="Greenhouses"/>
    <x v="16"/>
    <x v="3"/>
    <x v="0"/>
    <n v="0.33804285714285714"/>
    <n v="964.5"/>
  </r>
  <r>
    <n v="811"/>
    <s v="Gemüsekulturen in geschütztem Anbau ohne festes Fundament; im gewachsenen Boden"/>
    <s v="Vegetable crops in protected cultivation without permanent foundations, in natural soil"/>
    <s v="Cultures maraîchères sous abri sans fondations permanentes; sur sol naturel"/>
    <s v="Colture orticole coltivate al coperto senza fondamenta fisse; nel terreno naturale"/>
    <n v="2023"/>
    <m/>
    <n v="0"/>
    <n v="0"/>
    <n v="1"/>
    <x v="69"/>
    <s v="Greenhouses"/>
    <x v="16"/>
    <x v="3"/>
    <x v="0"/>
    <n v="215.27259789981153"/>
    <n v="0"/>
  </r>
  <r>
    <n v="812"/>
    <s v="Gemüsekulturen in geschütztem Anbau ohne festes Fundament; auf Pflanztischen oder -gestellen"/>
    <s v="Vegetable crops in protected cultivation without permanent foundations, on planting tables or racks"/>
    <s v="Cultures maraîchères sous abri sans fondations permanentes; sur des tables de plantation ou des étagères"/>
    <s v="Colture orticole coltivate al coperto senza fondamenta fisse; su tavole di piantagione o rastrelliere"/>
    <n v="2023"/>
    <m/>
    <n v="0"/>
    <n v="0"/>
    <n v="1"/>
    <x v="69"/>
    <s v="Greenhouses"/>
    <x v="16"/>
    <x v="3"/>
    <x v="0"/>
    <n v="5.3428166666666668"/>
    <n v="0"/>
  </r>
  <r>
    <n v="813"/>
    <s v="Beerenkulturen in geschütztem Anbau ohne festes Fundament; im gewachsenen Boden"/>
    <s v="Berry crops in protected cultivation without permanent foundations, in natural soil"/>
    <s v="Cultures des baies sous abri sans fondations permanentes; sur sol naturel"/>
    <s v="Colture di bacche coltivate al coperto senza fondamenta fisse; nel terreno naturale"/>
    <n v="2023"/>
    <m/>
    <n v="0"/>
    <n v="0"/>
    <n v="1"/>
    <x v="69"/>
    <s v="Greenhouses"/>
    <x v="16"/>
    <x v="3"/>
    <x v="0"/>
    <n v="22.983483333333336"/>
    <n v="0"/>
  </r>
  <r>
    <n v="814"/>
    <s v="Beerenkulturen in geschütztem Anbau ohne festes Fundament; auf Pflanztischen oder -gestellen"/>
    <s v="Berry crops in protected cultivation without permanent foundations, on planting tables or racks"/>
    <s v="Cultures des baies sous abri sans fondations permanentes; sur des tables de plantation ou  des étagères"/>
    <s v="Colture di bacche coltivate al coperto senza fondamenta fisse; su tavole di piantagione o rastrelliere"/>
    <n v="2023"/>
    <m/>
    <n v="0"/>
    <n v="0"/>
    <n v="1"/>
    <x v="69"/>
    <s v="Greenhouses"/>
    <x v="16"/>
    <x v="3"/>
    <x v="0"/>
    <n v="42.190766666666669"/>
    <n v="0"/>
  </r>
  <r>
    <n v="830"/>
    <s v="Kulturen in ganzjährig geschütztem Anbau, beitragsberechtigt aggregiert"/>
    <s v="Crops in year-round protected cultivation, eligible for contributions (aggregated)"/>
    <s v="Cultures sous abri sans fondations permanentes, avec contributions, agrégée"/>
    <s v="Superfici con colture protette tutto l’anno, con contributi, aggregata"/>
    <m/>
    <m/>
    <n v="0"/>
    <n v="0"/>
    <n v="0"/>
    <x v="69"/>
    <s v="Greenhouses"/>
    <x v="16"/>
    <x v="3"/>
    <x v="0"/>
    <n v="23.37686419828934"/>
    <n v="0"/>
  </r>
  <r>
    <n v="840"/>
    <s v="Kulturen in ganzjährig geschütztem Anbau, nicht beitragsberechtigt aggregiert"/>
    <s v="Crops in year-round protected cultivation, not eligible for contributions (aggregated)"/>
    <s v="Cultures sous abri sans fondations permanentes, sans contributions, agrégée"/>
    <s v="Superfici con colture protette tutto l’anno, senza contributi, aggregata"/>
    <m/>
    <n v="2022"/>
    <n v="0"/>
    <n v="0"/>
    <n v="0"/>
    <x v="69"/>
    <s v="Greenhouses"/>
    <x v="16"/>
    <x v="3"/>
    <x v="0"/>
    <n v="0"/>
    <m/>
  </r>
  <r>
    <n v="847"/>
    <s v="Übrige Kulturen in geschütztem Anbau ohne festes Fundament, beitragsberechtigt"/>
    <s v="Other crops in protected cultivation without permanent foundations, eligible for contributions"/>
    <s v="Autres cultures sous abri sans fondations permanentes, avec contributions"/>
    <s v="Altre colture coltivate al coperto senza fondamenta fisse, con contributi"/>
    <m/>
    <m/>
    <n v="0"/>
    <n v="0"/>
    <n v="0"/>
    <x v="69"/>
    <s v="Greenhouses"/>
    <x v="16"/>
    <x v="3"/>
    <x v="0"/>
    <n v="10.800421428571429"/>
    <n v="118884"/>
  </r>
  <r>
    <n v="848"/>
    <s v="Übrige Kulturen in geschütztem Anbau mit festem Fundament"/>
    <s v="Other crops in protected cultivation with permanent foundations"/>
    <s v="Autres cultures sous abri avec fondations permanentes"/>
    <s v="Altre colture coltivate al coperto con fondamenta fisse"/>
    <m/>
    <m/>
    <n v="0"/>
    <n v="0"/>
    <n v="0"/>
    <x v="69"/>
    <s v="Greenhouses"/>
    <x v="16"/>
    <x v="3"/>
    <x v="0"/>
    <n v="4.9150642857142852"/>
    <n v="45771"/>
  </r>
  <r>
    <n v="849"/>
    <s v="Übrige Kulturen in geschütztem Anbau ohne festes Fundament, nicht beitragsberechtigt"/>
    <s v="Other crops in protected cultivation without permanent foundations, not eligible for contributions"/>
    <s v="Autres cultures sous abri sans fondations permanentes, sans contributions"/>
    <s v="Altre colture coltivate al coperto senza fondamenta fisse, senza contributi"/>
    <m/>
    <m/>
    <n v="0"/>
    <n v="0"/>
    <n v="0"/>
    <x v="69"/>
    <s v="Greenhouses"/>
    <x v="16"/>
    <x v="3"/>
    <x v="0"/>
    <n v="2.8773142857142857"/>
    <n v="5867.5"/>
  </r>
  <r>
    <n v="851"/>
    <s v="Streueflächen in der landwirtschaftlichen Nutzfläche"/>
    <s v="Litter areas within agricultural land"/>
    <s v="Surfaces à litière dans la surface agricole utile"/>
    <s v="Terreni da strame all’interno della superficie agricola utilizzata"/>
    <m/>
    <m/>
    <n v="0"/>
    <n v="1"/>
    <n v="0"/>
    <x v="70"/>
    <s v="Litter Meadow"/>
    <x v="10"/>
    <x v="2"/>
    <x v="0"/>
    <n v="8039.3651689782646"/>
    <n v="65581634.414299279"/>
  </r>
  <r>
    <n v="852"/>
    <s v="Hecken-, Feld- und Ufergehölze (mit Krautsaum)"/>
    <s v="Hedges, field and riparian woody vegetation (with herbaceous margin)"/>
    <s v="Haies, bosquets champêtres et berges boisées (avec la bande herbeuse)"/>
    <s v="Siepi, boschetti campestri e rivieraschi (con bordo inerbito)"/>
    <m/>
    <m/>
    <n v="0"/>
    <n v="1"/>
    <n v="0"/>
    <x v="71"/>
    <s v="Forest"/>
    <x v="14"/>
    <x v="4"/>
    <x v="0"/>
    <n v="4637.1447703173026"/>
    <n v="39127872.576958202"/>
  </r>
  <r>
    <n v="857"/>
    <s v="Hecken-, Feld- und Ufergehölze (mit Pufferstreifen)"/>
    <s v="Hedges, field and riparian woody vegetation (with buffer strip)"/>
    <s v="Haies, bosquets champêtres et berges boisées (avec la bande herbeuse)"/>
    <s v="Siepi, boschetti campestri e rivieraschi (con fascia tampone)"/>
    <m/>
    <m/>
    <n v="0"/>
    <n v="0"/>
    <n v="0"/>
    <x v="71"/>
    <s v="Forest"/>
    <x v="14"/>
    <x v="4"/>
    <x v="0"/>
    <n v="800.54546441964374"/>
    <n v="5907184.9081133567"/>
  </r>
  <r>
    <n v="858"/>
    <s v="Hecken-, Feld- und Ufergehölze (mit Pufferstreifen) (regionsspezifische Biodiversitätsförderfläche)"/>
    <s v="Hedges, field and riparian woody vegetation (with buffer strip, region-specific biodiversity promotion area)"/>
    <s v="Haies, bosquets champêtres et berges boisées (avec la bande tampon) (Surfaces de promotion de la biodiversité spécifiques à la région)"/>
    <s v="Siepi, boschetti campestri e rivieraschi (con fascia tampone) (Superfici per la promozione della biodiversità specifiche di una regione)"/>
    <m/>
    <m/>
    <n v="0"/>
    <n v="1"/>
    <n v="0"/>
    <x v="71"/>
    <s v="Forest"/>
    <x v="14"/>
    <x v="4"/>
    <x v="0"/>
    <n v="53.465708429630276"/>
    <n v="304595.58923304593"/>
  </r>
  <r>
    <n v="897"/>
    <s v="Übrige Flächen innerhalb der landwirtschaftlichen Nutzfläche, beitragsberechtigt"/>
    <s v="Other areas within agricultural land, eligible for contributions"/>
    <s v="Autres surfaces dans la surface agricole utile, avec contributions"/>
    <s v="Altre superfici all’interno della superficie agricola utilizzata, con contributi"/>
    <m/>
    <m/>
    <n v="0"/>
    <n v="0"/>
    <n v="0"/>
    <x v="36"/>
    <m/>
    <x v="8"/>
    <x v="1"/>
    <x v="1"/>
    <n v="57.882429095080532"/>
    <n v="248055"/>
  </r>
  <r>
    <n v="898"/>
    <s v="Übrige Flächen innerhalb der landwirtschaftlichen Nutzfläche, nicht beitragsberechtigt"/>
    <s v="Other areas within agricultural land, not eligible for contributions"/>
    <s v="Autres surfaces dans la surface agricole utile, sans contributions"/>
    <s v="Altre superfici all’interno della superficie agricola utilizzata, senza contributi"/>
    <m/>
    <m/>
    <n v="0"/>
    <n v="0"/>
    <n v="0"/>
    <x v="36"/>
    <m/>
    <x v="8"/>
    <x v="1"/>
    <x v="1"/>
    <n v="971.77443687162759"/>
    <n v="6690862.1632269975"/>
  </r>
  <r>
    <n v="901"/>
    <s v="Wald"/>
    <s v="Forest"/>
    <s v="Forêt"/>
    <s v="Bosco"/>
    <m/>
    <m/>
    <n v="0"/>
    <n v="0"/>
    <n v="0"/>
    <x v="72"/>
    <s v="Forest"/>
    <x v="14"/>
    <x v="4"/>
    <x v="0"/>
    <n v="19506.765944770199"/>
    <n v="68314195.924880967"/>
  </r>
  <r>
    <n v="902"/>
    <s v="Übrige unproduktive Flächen (z.B. gemulchte Flächen, stark verunkrautete Flächen, Hecken ohne Pufferstreifen)"/>
    <s v="Other unproductive areas (e.g. mulched areas, heavily weed-infested areas, hedges without buffer strips)"/>
    <s v="Surfaces improductives (p. ex. haies sans les bandes tampons, surfaces broyées, surfaces avec un degré élevé de mauvaises herbes)"/>
    <s v="Altre superfici improduttive (p.es. siepi senza fascia tampone, superfici pacciamate, superfici con elevata presenza di malerbe)"/>
    <m/>
    <m/>
    <n v="0"/>
    <n v="0"/>
    <n v="0"/>
    <x v="73"/>
    <s v="Unproductive Area"/>
    <x v="17"/>
    <x v="5"/>
    <x v="1"/>
    <n v="49596.859757746366"/>
    <n v="30473960.83529304"/>
  </r>
  <r>
    <n v="903"/>
    <s v="Flächen ohne landwirtschaftliche Hauptzweckbestimmung (erschlossenes Bauland, Spiel-, Reit-, Camping-, Golf-, Flug- und Militärplätze oder ausgemarchte Bereiche von Eisenbahnen, öffentlichen Strassen und Gewässern)"/>
    <s v="Areas without a primary agricultural purpose (developed building land, sports, riding, camping, golf, airfields and military areas, or demarcated areas of railways, public roads and water bodies)"/>
    <s v="Surfaces dont l’affectation principale n’est pas l’exploitation agricole (terrains à bâtir équipés et surfaces comprises dans les terrains de golf et de camping, aérodromes et terrains d’entraînement militaire, surfaces délimitées des bas-côtés des lignes de chemins de fer, de routes publiques, de cours et de plans d’eau)"/>
    <s v="Superfici la cui destinazione principale non è l’utilizzazione agricola (quelle inserite in terreni edificabili urbanizzati, da golf, da equitazione, da campeggio, di aerodromi e d’esercitazione militare o che rientrano nella zona delimitata di ferrovie, strade pubbliche e corsi d’acqua)"/>
    <m/>
    <m/>
    <n v="0"/>
    <n v="0"/>
    <n v="0"/>
    <x v="36"/>
    <m/>
    <x v="8"/>
    <x v="1"/>
    <x v="1"/>
    <n v="733.20501422410098"/>
    <n v="4776970.3000000007"/>
  </r>
  <r>
    <n v="904"/>
    <s v="Wassergräben, Tümpel, Teiche"/>
    <s v="Water ditches, ponds and pools"/>
    <s v="Fossés humides, mares, étangs"/>
    <s v="Fossati umidi, stagni, pozze"/>
    <m/>
    <m/>
    <n v="0"/>
    <n v="1"/>
    <n v="0"/>
    <x v="74"/>
    <s v="Water"/>
    <x v="18"/>
    <x v="6"/>
    <x v="0"/>
    <n v="177.24271767857144"/>
    <n v="1947494.5"/>
  </r>
  <r>
    <n v="905"/>
    <s v="Ruderalflächen, Steinhaufen und -wälle"/>
    <s v="Ruderal areas, stone heaps and stone walls"/>
    <s v="Surfaces rudérales, tas d'épierrage et affleurements rocheux"/>
    <s v="Superfici ruderali, cumuli di pietra, affioramenti rocciosi"/>
    <m/>
    <m/>
    <n v="0"/>
    <n v="1"/>
    <n v="0"/>
    <x v="73"/>
    <s v="Unproductive Area"/>
    <x v="17"/>
    <x v="5"/>
    <x v="0"/>
    <n v="51.811886004573068"/>
    <n v="412442.40342809213"/>
  </r>
  <r>
    <n v="906"/>
    <s v="Trockenmauern"/>
    <s v="Dry stone walls"/>
    <s v="Murs de pierres sèches"/>
    <s v="Muri a secco"/>
    <m/>
    <m/>
    <n v="0"/>
    <n v="1"/>
    <n v="0"/>
    <x v="73"/>
    <s v="Unproductive Area"/>
    <x v="17"/>
    <x v="5"/>
    <x v="0"/>
    <n v="7.6835319934034123"/>
    <n v="74951.879870129633"/>
  </r>
  <r>
    <n v="907"/>
    <s v="Unbefestigte, natürliche Wege"/>
    <s v="Unpaved natural paths"/>
    <s v="Chemins naturels non stabilisés"/>
    <s v="Sentieri e accessi naturali non consolidati"/>
    <m/>
    <m/>
    <n v="0"/>
    <n v="0"/>
    <n v="0"/>
    <x v="73"/>
    <s v="Unproductive Area"/>
    <x v="17"/>
    <x v="5"/>
    <x v="0"/>
    <n v="96.706834158919506"/>
    <n v="734024.92811649712"/>
  </r>
  <r>
    <n v="908"/>
    <s v="Regionsspezifische Biodiversitätsförderflächen"/>
    <s v="Region-specific biodiversity promotion areas"/>
    <s v="Surfaces de promotion de la biodiversité spécifiques à la région"/>
    <s v="Superfici per la promozione della biodiversità specifiche di una regione"/>
    <m/>
    <m/>
    <n v="0"/>
    <n v="1"/>
    <n v="0"/>
    <x v="36"/>
    <m/>
    <x v="8"/>
    <x v="1"/>
    <x v="1"/>
    <n v="95.270678571428562"/>
    <n v="535515"/>
  </r>
  <r>
    <n v="909"/>
    <s v="Hausgärten"/>
    <s v="Home gardens"/>
    <s v="Jardins potager"/>
    <s v="Giardini e orti domestici"/>
    <m/>
    <m/>
    <n v="0"/>
    <n v="0"/>
    <n v="0"/>
    <x v="75"/>
    <s v="Built-up"/>
    <x v="19"/>
    <x v="7"/>
    <x v="0"/>
    <n v="80.300000650195813"/>
    <n v="255378.69898925442"/>
  </r>
  <r>
    <n v="911"/>
    <s v="Landwirtschaftliche Produktion in Gebäuden (z. B. Champignon, Brüsseler)"/>
    <s v="Agricultural production in buildings (e.g. mushrooms, witloof chicory)"/>
    <s v="Production agricole sous abri (par ex. champignons de Paris, chicorée witloof)"/>
    <s v="Produzione agricola in edifici (p.es. funghi, cicoria belga)"/>
    <m/>
    <m/>
    <n v="0"/>
    <n v="0"/>
    <n v="0"/>
    <x v="75"/>
    <s v="Built-up"/>
    <x v="19"/>
    <x v="7"/>
    <x v="0"/>
    <n v="2.09755"/>
    <n v="9260.5"/>
  </r>
  <r>
    <n v="921"/>
    <s v="Hochstamm-Feldobstbäume (Punkte oder Flächen)"/>
    <s v="High-stem field fruit trees (points or areas)"/>
    <s v="Arbres fruitiers champêtres haute-tige (points ou surface)"/>
    <s v="Alberi da frutto ad alto fusto nei campi (punti o superfici)"/>
    <m/>
    <m/>
    <n v="1"/>
    <n v="1"/>
    <n v="0"/>
    <x v="36"/>
    <m/>
    <x v="8"/>
    <x v="1"/>
    <x v="1"/>
    <n v="0"/>
    <m/>
  </r>
  <r>
    <n v="922"/>
    <s v="Nussbäume (Punkte oder Flächen)"/>
    <s v="Nut trees (points or areas)"/>
    <s v="Noyers (points ou surfaces)"/>
    <s v="Noci (Punti o superfici)"/>
    <m/>
    <m/>
    <n v="1"/>
    <n v="1"/>
    <n v="0"/>
    <x v="36"/>
    <m/>
    <x v="8"/>
    <x v="1"/>
    <x v="1"/>
    <n v="0"/>
    <m/>
  </r>
  <r>
    <n v="923"/>
    <s v="Edelkastanienbäume"/>
    <s v="Sweet chestnut trees"/>
    <s v="Châtaigniers"/>
    <s v="Alberi castagni"/>
    <m/>
    <m/>
    <n v="1"/>
    <n v="1"/>
    <n v="0"/>
    <x v="36"/>
    <m/>
    <x v="8"/>
    <x v="1"/>
    <x v="1"/>
    <n v="0"/>
    <m/>
  </r>
  <r>
    <n v="924"/>
    <s v="Einheimische standortgerechte Einzelbäume und Alleen (Punkte oder Flächen)"/>
    <s v="Native site-adapted individual trees and tree avenues (points or areas)"/>
    <s v="Arbres isolés indigènes adaptés au site et allées d'arbres (points ou surfaces)"/>
    <s v="Alberi indigeni isolati adatti al luogo e viali alberati (Punti o superfici)"/>
    <m/>
    <m/>
    <n v="1"/>
    <n v="1"/>
    <n v="0"/>
    <x v="36"/>
    <m/>
    <x v="8"/>
    <x v="1"/>
    <x v="1"/>
    <n v="0"/>
    <m/>
  </r>
  <r>
    <n v="926"/>
    <s v="Andere Bäume"/>
    <s v="Other trees"/>
    <s v="Autres arbres"/>
    <s v="Altri alberi"/>
    <n v="2022"/>
    <m/>
    <n v="1"/>
    <n v="0"/>
    <n v="0"/>
    <x v="36"/>
    <m/>
    <x v="8"/>
    <x v="1"/>
    <x v="1"/>
    <n v="0"/>
    <m/>
  </r>
  <r>
    <n v="927"/>
    <s v="Andere Bäume (regionsspezifische Biodiversitätsförderfläche)"/>
    <s v="Other trees (region-specific biodiversity promotion area)"/>
    <s v="Autres arbres (surfaces de promotion de la biodiversité spécifiques à la région)"/>
    <s v="Altri alberi (superfici per la promozione della biodiversità specifiche di una regione)"/>
    <m/>
    <m/>
    <n v="1"/>
    <n v="1"/>
    <n v="0"/>
    <x v="36"/>
    <m/>
    <x v="8"/>
    <x v="1"/>
    <x v="1"/>
    <n v="0"/>
    <m/>
  </r>
  <r>
    <n v="928"/>
    <s v="Andere Elemente (regionsspezifische Biodiversitätsförderfläche)"/>
    <s v="Other elements (region-specific biodiversity promotion area)"/>
    <s v="Autres éléments (surfaces de promotion de la biodiversité spécifiques à la région)"/>
    <s v="Altri elementi (superficie per la promozione della biodiversità specifica di una regione)"/>
    <m/>
    <m/>
    <n v="1"/>
    <n v="1"/>
    <n v="0"/>
    <x v="36"/>
    <m/>
    <x v="8"/>
    <x v="1"/>
    <x v="1"/>
    <n v="0"/>
    <m/>
  </r>
  <r>
    <n v="930"/>
    <s v="Sömmerungsweiden"/>
    <s v="Summer grazing pastures"/>
    <s v="Pâturages d’estivage"/>
    <s v="Pascoli d’estivazione"/>
    <m/>
    <m/>
    <n v="0"/>
    <n v="0"/>
    <n v="0"/>
    <x v="76"/>
    <s v="Alpine Pasture"/>
    <x v="20"/>
    <x v="2"/>
    <x v="0"/>
    <n v="194233.89813277722"/>
    <n v="999190383.66507041"/>
  </r>
  <r>
    <n v="933"/>
    <s v="Gemeinschaftsweiden"/>
    <s v="Communal pastures"/>
    <s v="Pâturages communautaires"/>
    <s v="Pascoli comunitari"/>
    <m/>
    <m/>
    <n v="0"/>
    <n v="0"/>
    <n v="0"/>
    <x v="77"/>
    <s v="Pasture"/>
    <x v="11"/>
    <x v="2"/>
    <x v="1"/>
    <n v="1457.9465166666666"/>
    <n v="0"/>
  </r>
  <r>
    <n v="935"/>
    <s v="Heuwiesen mit Zufütterung während der Sömmerung"/>
    <s v="Hay meadows with supplementary feeding during summer grazing"/>
    <s v="Prairies de fauche en région d’estivage, pour l'affouragement pendant l'estivage"/>
    <s v="Prati da sfalcio nella regione d’estivazione, per l'alimentazione durante l'estivazione"/>
    <m/>
    <m/>
    <n v="0"/>
    <n v="0"/>
    <n v="0"/>
    <x v="36"/>
    <m/>
    <x v="8"/>
    <x v="1"/>
    <x v="1"/>
    <n v="29.082264285714285"/>
    <n v="74516.5"/>
  </r>
  <r>
    <n v="936"/>
    <s v="Streueflächen im Sömmerungsgebiet"/>
    <s v="Litter areas in summer-grazing regions"/>
    <s v="Surfaces à litière, région d’estivage"/>
    <s v="Terreni da strame nella regione d’estivazione"/>
    <m/>
    <m/>
    <n v="0"/>
    <n v="0"/>
    <n v="0"/>
    <x v="78"/>
    <s v="Wetland"/>
    <x v="21"/>
    <x v="8"/>
    <x v="0"/>
    <n v="338.24971872146119"/>
    <n v="3081843.5"/>
  </r>
  <r>
    <n v="950"/>
    <s v="Ackerschonstreifen"/>
    <s v="Arable field margin strips"/>
    <s v="Bande culturale extensive"/>
    <s v="Fasce di colture estensive in campicoltura"/>
    <n v="2023"/>
    <m/>
    <n v="1"/>
    <n v="1"/>
    <n v="0"/>
    <x v="41"/>
    <s v="Fallow"/>
    <x v="9"/>
    <x v="0"/>
    <x v="1"/>
    <n v="0"/>
    <m/>
  </r>
  <r>
    <n v="951"/>
    <s v="Getreide in weiter Reihe"/>
    <s v="Cereals in wide rows"/>
    <s v="Céréales en lignes de semis espacées"/>
    <s v="Cereali in file distanziate"/>
    <n v="2023"/>
    <n v="2024"/>
    <n v="1"/>
    <n v="1"/>
    <n v="0"/>
    <x v="36"/>
    <m/>
    <x v="8"/>
    <x v="1"/>
    <x v="1"/>
    <n v="0"/>
    <m/>
  </r>
  <r>
    <n v="998"/>
    <s v="Übrige Flächen ausserhalb der landwirtschaftlichen Nutzfläche und Sömmerungsfläche"/>
    <s v="Other areas outside agricultural land and summer-grazing areas"/>
    <s v="Autres surfaces situées en dehors de la surface agricole utile et la surface d’estivage"/>
    <s v="Altre superfici fuori della superficie agricola utilizzata e superfici d’estivazione"/>
    <m/>
    <m/>
    <n v="0"/>
    <n v="0"/>
    <n v="0"/>
    <x v="36"/>
    <m/>
    <x v="8"/>
    <x v="1"/>
    <x v="1"/>
    <n v="574.62526614753472"/>
    <n v="2741766.1276711109"/>
  </r>
  <r>
    <n v="1901"/>
    <s v="Fels (swissTLM3D)"/>
    <s v="Rock (swissTLM3D)"/>
    <s v="Roche (swissTLM3D)"/>
    <s v="Roccia (swissTLM3D)"/>
    <m/>
    <m/>
    <m/>
    <m/>
    <m/>
    <x v="73"/>
    <s v="Unproductive Area"/>
    <x v="17"/>
    <x v="5"/>
    <x v="0"/>
    <n v="270153.12015292724"/>
    <n v="2791606514.0071173"/>
  </r>
  <r>
    <n v="1902"/>
    <s v="Fels locker (swissTLM3D)"/>
    <s v="Loose rock (swissTLM3D)"/>
    <s v="Roche meuble (swissTLM3D)"/>
    <s v="Roccia sciolta (swissTLM3D)"/>
    <m/>
    <m/>
    <m/>
    <m/>
    <m/>
    <x v="73"/>
    <s v="Unproductive Area"/>
    <x v="17"/>
    <x v="5"/>
    <x v="0"/>
    <n v="21359.424027063633"/>
    <n v="216997012.1383397"/>
  </r>
  <r>
    <n v="1903"/>
    <s v="Felsbloecke (swissTLM3D)"/>
    <s v="Boulders (swissTLM3D)"/>
    <s v="Blocs rocheux (swissTLM3D)"/>
    <s v="Massi (swissTLM3D)"/>
    <m/>
    <m/>
    <m/>
    <m/>
    <m/>
    <x v="73"/>
    <s v="Unproductive Area"/>
    <x v="17"/>
    <x v="5"/>
    <x v="0"/>
    <n v="2102.0371285714286"/>
    <n v="18656345.5"/>
  </r>
  <r>
    <n v="1904"/>
    <s v="Felsbloecke locker (swissTLM3D)"/>
    <s v="Loose boulders (swissTLM3D)"/>
    <s v="Blocs rocheux meubles (swissTLM3D)"/>
    <s v="Massi sciolti (swissTLM3D)"/>
    <m/>
    <m/>
    <m/>
    <m/>
    <m/>
    <x v="73"/>
    <s v="Unproductive Area"/>
    <x v="17"/>
    <x v="5"/>
    <x v="0"/>
    <n v="850.89114782717286"/>
    <n v="8021719.5"/>
  </r>
  <r>
    <n v="1905"/>
    <s v="Lockergestein (swissTLM3D)"/>
    <s v="Unconsolidated sediment (swissTLM3D)"/>
    <s v="Sédiment meuble (swissTLM3D)"/>
    <s v="Sedimento sciolto (swissTLM3D)"/>
    <m/>
    <m/>
    <m/>
    <m/>
    <m/>
    <x v="73"/>
    <s v="Unproductive Area"/>
    <x v="17"/>
    <x v="5"/>
    <x v="0"/>
    <n v="273652.62614822033"/>
    <n v="2814170107.6763806"/>
  </r>
  <r>
    <n v="1906"/>
    <s v="Lockergestein locker (swissTLM3D)"/>
    <s v="Loose unconsolidated sediment (swissTLM3D)"/>
    <s v="Sédiment meuble meuble (swissTLM3D)"/>
    <s v="Sedimento sciolto sciolto (swissTLM3D)"/>
    <m/>
    <m/>
    <m/>
    <m/>
    <m/>
    <x v="73"/>
    <s v="Unproductive Area"/>
    <x v="17"/>
    <x v="5"/>
    <x v="0"/>
    <n v="27633.425315552719"/>
    <n v="266773686.06559753"/>
  </r>
  <r>
    <n v="1907"/>
    <s v="Gletscher (swissTLM3D)"/>
    <s v="Glacier (swissTLM3D)"/>
    <s v="Glacier (swissTLM3D)"/>
    <s v="Ghiacciaio (swissTLM3D)"/>
    <m/>
    <m/>
    <m/>
    <m/>
    <m/>
    <x v="73"/>
    <s v="Unproductive Area"/>
    <x v="17"/>
    <x v="5"/>
    <x v="0"/>
    <n v="95986.18384285715"/>
    <n v="1012778860"/>
  </r>
  <r>
    <n v="1908"/>
    <s v="Schneefeld Toteis (swissTLM3D)"/>
    <s v="Snowfield / dead ice (swissTLM3D)"/>
    <s v="Champ de neige / glace morte (swissTLM3D)"/>
    <s v="Campo di neve / ghiaccio morto (swissTLM3D)"/>
    <m/>
    <m/>
    <m/>
    <m/>
    <m/>
    <x v="73"/>
    <s v="Unproductive Area"/>
    <x v="17"/>
    <x v="5"/>
    <x v="0"/>
    <n v="4084.591375"/>
    <n v="0"/>
  </r>
  <r>
    <n v="1909"/>
    <s v="Stehende Gewaesser (swissTLM3D)"/>
    <s v="Standing water (swissTLM3D)"/>
    <s v="Eaux stagnantes (swissTLM3D)"/>
    <s v="Acque stagnanti (swissTLM3D)"/>
    <m/>
    <m/>
    <m/>
    <m/>
    <m/>
    <x v="74"/>
    <s v="Water"/>
    <x v="18"/>
    <x v="6"/>
    <x v="0"/>
    <n v="223425.44403632887"/>
    <n v="2234484103.4208813"/>
  </r>
  <r>
    <n v="1910"/>
    <s v="Fliessgewaesser (swissTLM3D)"/>
    <s v="Flowing water (swissTLM3D)"/>
    <s v="Eaux courantes (swissTLM3D)"/>
    <s v="Acque correnti (swissTLM3D)"/>
    <m/>
    <m/>
    <m/>
    <m/>
    <m/>
    <x v="74"/>
    <s v="Water"/>
    <x v="18"/>
    <x v="6"/>
    <x v="0"/>
    <n v="14073.13453830507"/>
    <n v="140818364.72616616"/>
  </r>
  <r>
    <n v="1911"/>
    <s v="Feuchtgebiet (swissTLM3D)"/>
    <s v="Wetland (swissTLM3D)"/>
    <s v="Zone humide (swissTLM3D)"/>
    <s v="Zona umida (swissTLM3D)"/>
    <m/>
    <m/>
    <m/>
    <m/>
    <m/>
    <x v="78"/>
    <s v="Wetland"/>
    <x v="21"/>
    <x v="8"/>
    <x v="0"/>
    <n v="12144.005034603775"/>
    <n v="132537695.07097863"/>
  </r>
  <r>
    <n v="1912"/>
    <s v="Gehölzflaeche (swissTLM3D)"/>
    <s v="Woodland (swissTLM3D)"/>
    <s v="Boisement (swissTLM3D)"/>
    <s v="Boschetto (swissTLM3D)"/>
    <m/>
    <m/>
    <m/>
    <m/>
    <m/>
    <x v="72"/>
    <s v="Forest"/>
    <x v="14"/>
    <x v="4"/>
    <x v="0"/>
    <n v="11264.472725284761"/>
    <n v="120643840.92476563"/>
  </r>
  <r>
    <n v="1913"/>
    <s v="Gebüschwald (swissTLM3D)"/>
    <s v="Shrub forest (swissTLM3D)"/>
    <s v="Forêt de broussailles (swissTLM3D)"/>
    <s v="Bosco di cespugli (swissTLM3D)"/>
    <m/>
    <m/>
    <m/>
    <m/>
    <m/>
    <x v="72"/>
    <s v="Forest"/>
    <x v="14"/>
    <x v="4"/>
    <x v="0"/>
    <n v="51810.236887944629"/>
    <n v="540663809.44551277"/>
  </r>
  <r>
    <n v="1914"/>
    <s v="Wald offen (swissTLM3D)"/>
    <s v="Open forest (swissTLM3D)"/>
    <s v="Forêt ouverte (swissTLM3D)"/>
    <s v="Bosco aperto (swissTLM3D)"/>
    <m/>
    <m/>
    <m/>
    <m/>
    <m/>
    <x v="72"/>
    <s v="Forest"/>
    <x v="14"/>
    <x v="4"/>
    <x v="0"/>
    <n v="27540.417997003238"/>
    <n v="285720086.41504097"/>
  </r>
  <r>
    <n v="1915"/>
    <s v="Wald (swissTLM3D)"/>
    <s v="Forest (swissTLM3D)"/>
    <s v="Forêt (swissTLM3D)"/>
    <s v="Foresta (swissTLM3D)"/>
    <m/>
    <m/>
    <m/>
    <m/>
    <m/>
    <x v="72"/>
    <s v="Forest"/>
    <x v="14"/>
    <x v="4"/>
    <x v="0"/>
    <n v="1090777.630259081"/>
    <n v="11179558292.506681"/>
  </r>
  <r>
    <n v="1921"/>
    <s v="Strassen (swissTLM3D)"/>
    <s v="Roads (swissTLM3D)"/>
    <s v="Routes (swissTLM3D)"/>
    <s v="Strade (swissTLM3D)"/>
    <m/>
    <m/>
    <m/>
    <m/>
    <m/>
    <x v="75"/>
    <s v="Built-up"/>
    <x v="19"/>
    <x v="7"/>
    <x v="0"/>
    <n v="52009.104355739102"/>
    <n v="532286475.36281502"/>
  </r>
  <r>
    <n v="1922"/>
    <s v="Eisenbahn (swissTLM3D)"/>
    <s v="Railway (swissTLM3D)"/>
    <s v="Chemin de fer (swissTLM3D)"/>
    <s v="Ferrovia (swissTLM3D)"/>
    <m/>
    <m/>
    <m/>
    <m/>
    <m/>
    <x v="75"/>
    <s v="Built-up"/>
    <x v="19"/>
    <x v="7"/>
    <x v="0"/>
    <n v="6550.5173534548949"/>
    <n v="64432962.967853129"/>
  </r>
  <r>
    <n v="1923"/>
    <s v="Gebäude (swissTLM3D)"/>
    <s v="Buildings (swissTLM3D)"/>
    <s v="Bâtiments (swissTLM3D)"/>
    <s v="Edifici (swissTLM3D)"/>
    <m/>
    <m/>
    <m/>
    <m/>
    <m/>
    <x v="75"/>
    <s v="Built-up"/>
    <x v="19"/>
    <x v="7"/>
    <x v="0"/>
    <n v="55985.331225945498"/>
    <n v="539531327.44295692"/>
  </r>
  <r>
    <n v="1924"/>
    <s v="Sportplatz (swissTLM3D)"/>
    <s v="Sports field (swissTLM3D)"/>
    <s v="Terrain de sport (swissTLM3D)"/>
    <s v="Campo sportivo (swissTLM3D)"/>
    <m/>
    <m/>
    <m/>
    <m/>
    <m/>
    <x v="75"/>
    <s v="Built-up"/>
    <x v="19"/>
    <x v="7"/>
    <x v="0"/>
    <n v="2650.4389678571429"/>
    <n v="26443230.5"/>
  </r>
  <r>
    <n v="1925"/>
    <s v="Staubaute (swissTLM3D)"/>
    <s v="Dam / barrier (swissTLM3D)"/>
    <s v="Barrage (swissTLM3D)"/>
    <s v="Diga / sbarramento (swissTLM3D)"/>
    <m/>
    <m/>
    <m/>
    <m/>
    <m/>
    <x v="75"/>
    <s v="Built-up"/>
    <x v="19"/>
    <x v="7"/>
    <x v="0"/>
    <n v="491.4368412231529"/>
    <n v="4480876.1387929013"/>
  </r>
  <r>
    <n v="1926"/>
    <s v="Verkehrsbaute (swissTLM3D)"/>
    <s v="Traffic structure (swissTLM3D)"/>
    <s v="Structure de circulation (swissTLM3D)"/>
    <s v="Struttura stradale (swissTLM3D)"/>
    <m/>
    <m/>
    <m/>
    <m/>
    <m/>
    <x v="75"/>
    <s v="Built-up"/>
    <x v="19"/>
    <x v="7"/>
    <x v="0"/>
    <n v="829.08574214599309"/>
    <n v="8460611.4176845383"/>
  </r>
  <r>
    <n v="1927"/>
    <s v="Nutzungsareale (swissTLM3D)"/>
    <s v="Usage area (swissTLM3D)"/>
    <s v="Zone d'utilisation (swissTLM3D)"/>
    <s v="Area di utilizzo (swissTLM3D)"/>
    <m/>
    <m/>
    <m/>
    <m/>
    <m/>
    <x v="75"/>
    <s v="Built-up"/>
    <x v="19"/>
    <x v="7"/>
    <x v="0"/>
    <n v="1051.6849218430239"/>
    <n v="10734695.413197685"/>
  </r>
  <r>
    <n v="1928"/>
    <s v="Abbauareale (swissTLM3D)"/>
    <s v="Extraction area (swissTLM3D)"/>
    <s v="Zone d'extraction (swissTLM3D)"/>
    <s v="Area di estrazione (swissTLM3D)"/>
    <m/>
    <m/>
    <m/>
    <m/>
    <m/>
    <x v="73"/>
    <s v="Unproductive Area"/>
    <x v="17"/>
    <x v="5"/>
    <x v="0"/>
    <n v="2942.5818641909427"/>
    <n v="0"/>
  </r>
  <r>
    <n v="1929"/>
    <s v="Schrebergartenareale (swissTLM3D)"/>
    <s v="Allotment gardens (swissTLM3D)"/>
    <s v="Jardins familiaux (swissTLM3D)"/>
    <s v="Orti (swissTLM3D)"/>
    <m/>
    <m/>
    <m/>
    <m/>
    <m/>
    <x v="75"/>
    <s v="Built-up"/>
    <x v="19"/>
    <x v="7"/>
    <x v="0"/>
    <n v="1194.0955997139467"/>
    <n v="12188253.559108902"/>
  </r>
  <r>
    <n v="1930"/>
    <s v="Verkehrsareale (swissTLM3D)"/>
    <s v="Traffic area (swissTLM3D)"/>
    <s v="Zone de circulation (swissTLM3D)"/>
    <s v="Area di traffico (swissTLM3D)"/>
    <m/>
    <m/>
    <m/>
    <m/>
    <m/>
    <x v="75"/>
    <s v="Built-up"/>
    <x v="19"/>
    <x v="7"/>
    <x v="0"/>
    <n v="3025.8921385253611"/>
    <n v="29042374.918799825"/>
  </r>
  <r>
    <m/>
    <m/>
    <m/>
    <m/>
    <m/>
    <m/>
    <m/>
    <m/>
    <m/>
    <m/>
    <x v="36"/>
    <m/>
    <x v="8"/>
    <x v="1"/>
    <x v="0"/>
    <m/>
    <m/>
  </r>
  <r>
    <m/>
    <m/>
    <m/>
    <m/>
    <m/>
    <m/>
    <m/>
    <m/>
    <m/>
    <m/>
    <x v="36"/>
    <m/>
    <x v="8"/>
    <x v="1"/>
    <x v="0"/>
    <m/>
    <m/>
  </r>
  <r>
    <m/>
    <m/>
    <m/>
    <m/>
    <m/>
    <m/>
    <m/>
    <m/>
    <m/>
    <m/>
    <x v="36"/>
    <m/>
    <x v="8"/>
    <x v="1"/>
    <x v="0"/>
    <m/>
    <m/>
  </r>
  <r>
    <m/>
    <m/>
    <m/>
    <m/>
    <m/>
    <m/>
    <m/>
    <m/>
    <m/>
    <m/>
    <x v="36"/>
    <m/>
    <x v="8"/>
    <x v="1"/>
    <x v="0"/>
    <m/>
    <m/>
  </r>
  <r>
    <m/>
    <m/>
    <m/>
    <m/>
    <m/>
    <m/>
    <m/>
    <m/>
    <m/>
    <m/>
    <x v="36"/>
    <m/>
    <x v="8"/>
    <x v="1"/>
    <x v="0"/>
    <m/>
    <m/>
  </r>
  <r>
    <m/>
    <m/>
    <m/>
    <m/>
    <m/>
    <m/>
    <m/>
    <m/>
    <m/>
    <m/>
    <x v="36"/>
    <m/>
    <x v="8"/>
    <x v="1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29705-5902-417D-A42C-9EA94869F982}" name="PivotTable2" cacheId="1" applyNumberFormats="0" applyBorderFormats="0" applyFontFormats="0" applyPatternFormats="0" applyAlignmentFormats="0" applyWidthHeightFormats="1" dataCaption="Werte" updatedVersion="7" minRefreshableVersion="3" useAutoFormatting="1" itemPrintTitles="1" createdVersion="7" indent="0" outline="1" outlineData="1" multipleFieldFilters="0">
  <location ref="D4:E57" firstHeaderRow="1" firstDataRow="1" firstDataCol="1" rowPageCount="1" colPageCount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8">
        <item x="54"/>
        <item x="30"/>
        <item x="20"/>
        <item x="13"/>
        <item x="53"/>
        <item x="24"/>
        <item x="27"/>
        <item x="35"/>
        <item x="39"/>
        <item x="31"/>
        <item x="47"/>
        <item x="40"/>
        <item x="6"/>
        <item x="49"/>
        <item x="37"/>
        <item x="38"/>
        <item x="32"/>
        <item x="36"/>
        <item x="34"/>
        <item x="50"/>
        <item x="22"/>
        <item x="25"/>
        <item x="18"/>
        <item x="33"/>
        <item x="48"/>
        <item x="2"/>
        <item x="23"/>
        <item x="4"/>
        <item x="55"/>
        <item x="21"/>
        <item x="43"/>
        <item x="45"/>
        <item x="44"/>
        <item x="46"/>
        <item x="14"/>
        <item x="15"/>
        <item x="7"/>
        <item x="9"/>
        <item x="11"/>
        <item x="28"/>
        <item x="16"/>
        <item x="19"/>
        <item x="10"/>
        <item x="0"/>
        <item x="8"/>
        <item x="12"/>
        <item x="17"/>
        <item x="42"/>
        <item x="3"/>
        <item x="51"/>
        <item x="26"/>
        <item x="41"/>
        <item x="52"/>
        <item x="56"/>
        <item x="1"/>
        <item x="5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dataField="1" showAll="0"/>
  </pivotFields>
  <rowFields count="1">
    <field x="11"/>
  </rowFields>
  <rowItems count="53">
    <i>
      <x v="10"/>
    </i>
    <i>
      <x v="49"/>
    </i>
    <i>
      <x v="14"/>
    </i>
    <i>
      <x v="52"/>
    </i>
    <i>
      <x/>
    </i>
    <i>
      <x v="4"/>
    </i>
    <i>
      <x v="18"/>
    </i>
    <i>
      <x v="15"/>
    </i>
    <i>
      <x v="7"/>
    </i>
    <i>
      <x v="55"/>
    </i>
    <i>
      <x v="8"/>
    </i>
    <i>
      <x v="38"/>
    </i>
    <i>
      <x v="54"/>
    </i>
    <i>
      <x v="35"/>
    </i>
    <i>
      <x v="45"/>
    </i>
    <i>
      <x v="12"/>
    </i>
    <i>
      <x v="17"/>
    </i>
    <i>
      <x v="53"/>
    </i>
    <i>
      <x v="51"/>
    </i>
    <i>
      <x v="50"/>
    </i>
    <i>
      <x v="11"/>
    </i>
    <i>
      <x v="34"/>
    </i>
    <i>
      <x v="19"/>
    </i>
    <i>
      <x v="42"/>
    </i>
    <i>
      <x v="47"/>
    </i>
    <i>
      <x v="48"/>
    </i>
    <i>
      <x v="46"/>
    </i>
    <i>
      <x v="9"/>
    </i>
    <i>
      <x v="40"/>
    </i>
    <i>
      <x v="29"/>
    </i>
    <i>
      <x v="25"/>
    </i>
    <i>
      <x v="37"/>
    </i>
    <i>
      <x v="44"/>
    </i>
    <i>
      <x v="13"/>
    </i>
    <i>
      <x v="43"/>
    </i>
    <i>
      <x v="2"/>
    </i>
    <i>
      <x v="39"/>
    </i>
    <i>
      <x v="30"/>
    </i>
    <i>
      <x v="33"/>
    </i>
    <i>
      <x v="21"/>
    </i>
    <i>
      <x v="1"/>
    </i>
    <i>
      <x v="41"/>
    </i>
    <i>
      <x v="6"/>
    </i>
    <i>
      <x v="3"/>
    </i>
    <i>
      <x v="20"/>
    </i>
    <i>
      <x v="22"/>
    </i>
    <i>
      <x v="32"/>
    </i>
    <i>
      <x v="36"/>
    </i>
    <i>
      <x v="16"/>
    </i>
    <i>
      <x v="31"/>
    </i>
    <i>
      <x v="26"/>
    </i>
    <i>
      <x v="56"/>
    </i>
    <i t="grand">
      <x/>
    </i>
  </rowItems>
  <colItems count="1">
    <i/>
  </colItems>
  <pageFields count="1">
    <pageField fld="14" item="1" hier="-1"/>
  </pageFields>
  <dataFields count="1">
    <dataField name="Summe von Avg_Area_ha" fld="15" baseField="0" baseItem="9"/>
  </dataFields>
  <formats count="1">
    <format dxfId="61">
      <pivotArea collapsedLevelsAreSubtotals="1" fieldPosition="0">
        <references count="1">
          <reference field="11" count="51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5124C-981D-4364-999C-6DBA48CDFF87}" name="PivotTable1" cacheId="19" applyNumberFormats="0" applyBorderFormats="0" applyFontFormats="0" applyPatternFormats="0" applyAlignmentFormats="0" applyWidthHeightFormats="1" dataCaption="Werte" updatedVersion="7" minRefreshableVersion="3" useAutoFormatting="1" itemPrintTitles="1" createdVersion="7" indent="0" outline="1" outlineData="1" multipleFieldFilters="0">
  <location ref="A4:B84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1">
        <item x="76"/>
        <item x="9"/>
        <item x="37"/>
        <item x="56"/>
        <item x="64"/>
        <item x="23"/>
        <item x="15"/>
        <item x="34"/>
        <item x="75"/>
        <item x="31"/>
        <item x="67"/>
        <item x="27"/>
        <item x="33"/>
        <item x="65"/>
        <item x="77"/>
        <item x="8"/>
        <item x="49"/>
        <item x="53"/>
        <item x="41"/>
        <item x="21"/>
        <item x="72"/>
        <item x="54"/>
        <item x="6"/>
        <item x="69"/>
        <item x="71"/>
        <item x="22"/>
        <item x="62"/>
        <item x="40"/>
        <item x="51"/>
        <item x="52"/>
        <item x="44"/>
        <item x="50"/>
        <item x="48"/>
        <item x="70"/>
        <item x="25"/>
        <item x="29"/>
        <item x="4"/>
        <item x="45"/>
        <item x="46"/>
        <item x="66"/>
        <item x="2"/>
        <item x="26"/>
        <item x="68"/>
        <item x="57"/>
        <item x="24"/>
        <item x="59"/>
        <item x="61"/>
        <item x="60"/>
        <item x="42"/>
        <item x="16"/>
        <item x="47"/>
        <item x="63"/>
        <item x="7"/>
        <item x="11"/>
        <item x="43"/>
        <item x="30"/>
        <item x="13"/>
        <item x="35"/>
        <item x="19"/>
        <item x="38"/>
        <item x="12"/>
        <item x="39"/>
        <item x="0"/>
        <item x="17"/>
        <item x="10"/>
        <item x="58"/>
        <item x="14"/>
        <item x="20"/>
        <item x="28"/>
        <item x="3"/>
        <item x="73"/>
        <item x="32"/>
        <item x="55"/>
        <item x="74"/>
        <item x="78"/>
        <item x="1"/>
        <item x="18"/>
        <item x="5"/>
        <item x="36"/>
        <item m="1"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dataField="1" showAll="0"/>
    <pivotField showAll="0"/>
  </pivotFields>
  <rowFields count="1">
    <field x="10"/>
  </rowFields>
  <rowItems count="80">
    <i>
      <x v="20"/>
    </i>
    <i>
      <x v="70"/>
    </i>
    <i>
      <x v="28"/>
    </i>
    <i>
      <x v="73"/>
    </i>
    <i>
      <x/>
    </i>
    <i>
      <x v="8"/>
    </i>
    <i>
      <x v="32"/>
    </i>
    <i>
      <x v="29"/>
    </i>
    <i>
      <x v="16"/>
    </i>
    <i>
      <x v="77"/>
    </i>
    <i>
      <x v="17"/>
    </i>
    <i>
      <x v="56"/>
    </i>
    <i>
      <x v="75"/>
    </i>
    <i>
      <x v="76"/>
    </i>
    <i>
      <x v="66"/>
    </i>
    <i>
      <x v="22"/>
    </i>
    <i>
      <x v="31"/>
    </i>
    <i>
      <x v="74"/>
    </i>
    <i>
      <x v="72"/>
    </i>
    <i>
      <x v="71"/>
    </i>
    <i>
      <x v="21"/>
    </i>
    <i>
      <x v="49"/>
    </i>
    <i>
      <x v="33"/>
    </i>
    <i>
      <x v="60"/>
    </i>
    <i>
      <x v="69"/>
    </i>
    <i>
      <x v="67"/>
    </i>
    <i>
      <x v="24"/>
    </i>
    <i>
      <x v="18"/>
    </i>
    <i>
      <x v="3"/>
    </i>
    <i>
      <x v="78"/>
    </i>
    <i>
      <x v="58"/>
    </i>
    <i>
      <x v="44"/>
    </i>
    <i>
      <x v="40"/>
    </i>
    <i>
      <x v="53"/>
    </i>
    <i>
      <x v="65"/>
    </i>
    <i>
      <x v="14"/>
    </i>
    <i>
      <x v="64"/>
    </i>
    <i>
      <x v="37"/>
    </i>
    <i>
      <x v="23"/>
    </i>
    <i>
      <x v="39"/>
    </i>
    <i>
      <x v="62"/>
    </i>
    <i>
      <x v="5"/>
    </i>
    <i>
      <x v="43"/>
    </i>
    <i>
      <x v="13"/>
    </i>
    <i>
      <x v="57"/>
    </i>
    <i>
      <x v="45"/>
    </i>
    <i>
      <x v="55"/>
    </i>
    <i>
      <x v="35"/>
    </i>
    <i>
      <x v="4"/>
    </i>
    <i>
      <x v="2"/>
    </i>
    <i>
      <x v="12"/>
    </i>
    <i>
      <x v="10"/>
    </i>
    <i>
      <x v="68"/>
    </i>
    <i>
      <x v="6"/>
    </i>
    <i>
      <x v="1"/>
    </i>
    <i>
      <x v="15"/>
    </i>
    <i>
      <x v="27"/>
    </i>
    <i>
      <x v="36"/>
    </i>
    <i>
      <x v="34"/>
    </i>
    <i>
      <x v="42"/>
    </i>
    <i>
      <x v="47"/>
    </i>
    <i>
      <x v="19"/>
    </i>
    <i>
      <x v="52"/>
    </i>
    <i>
      <x v="30"/>
    </i>
    <i>
      <x v="61"/>
    </i>
    <i>
      <x v="51"/>
    </i>
    <i>
      <x v="41"/>
    </i>
    <i>
      <x v="63"/>
    </i>
    <i>
      <x v="46"/>
    </i>
    <i>
      <x v="11"/>
    </i>
    <i>
      <x v="7"/>
    </i>
    <i>
      <x v="25"/>
    </i>
    <i>
      <x v="38"/>
    </i>
    <i>
      <x v="50"/>
    </i>
    <i>
      <x v="26"/>
    </i>
    <i>
      <x v="48"/>
    </i>
    <i>
      <x v="9"/>
    </i>
    <i>
      <x v="54"/>
    </i>
    <i>
      <x v="59"/>
    </i>
    <i t="grand">
      <x/>
    </i>
  </rowItems>
  <colItems count="1">
    <i/>
  </colItems>
  <pageFields count="1">
    <pageField fld="14" hier="-1"/>
  </pageFields>
  <dataFields count="1">
    <dataField name="Summe von Avg_Area_ha" fld="15" baseField="10" baseItem="5" numFmtId="1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CDC00-5A09-4FD9-B50F-C0F387E1B2DB}" name="PivotTable8" cacheId="19" applyNumberFormats="0" applyBorderFormats="0" applyFontFormats="0" applyPatternFormats="0" applyAlignmentFormats="0" applyWidthHeightFormats="1" dataCaption="Werte" updatedVersion="7" minRefreshableVersion="3" useAutoFormatting="1" itemPrintTitles="1" createdVersion="7" indent="0" outline="1" outlineData="1" multipleFieldFilters="0">
  <location ref="J4:K14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">
        <item x="0"/>
        <item x="2"/>
        <item m="1" x="9"/>
        <item x="3"/>
        <item x="1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dataField="1" showAll="0"/>
    <pivotField showAll="0"/>
  </pivotFields>
  <rowFields count="1">
    <field x="13"/>
  </rowFields>
  <rowItems count="10">
    <i>
      <x v="5"/>
    </i>
    <i>
      <x v="1"/>
    </i>
    <i>
      <x v="6"/>
    </i>
    <i>
      <x/>
    </i>
    <i>
      <x v="7"/>
    </i>
    <i>
      <x v="8"/>
    </i>
    <i>
      <x v="3"/>
    </i>
    <i>
      <x v="9"/>
    </i>
    <i>
      <x v="4"/>
    </i>
    <i t="grand">
      <x/>
    </i>
  </rowItems>
  <colItems count="1">
    <i/>
  </colItems>
  <pageFields count="1">
    <pageField fld="14" item="1" hier="-1"/>
  </pageFields>
  <dataFields count="1">
    <dataField name="Summe von Avg_Area_ha" fld="15" baseField="12" baseItem="0"/>
  </dataFields>
  <formats count="1">
    <format dxfId="62">
      <pivotArea collapsedLevelsAreSubtotals="1" fieldPosition="0">
        <references count="1">
          <reference field="13" count="9">
            <x v="0"/>
            <x v="1"/>
            <x v="2"/>
            <x v="3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323C5-3070-4832-A337-D7BF1F4A2B21}" name="PivotTable3" cacheId="19" applyNumberFormats="0" applyBorderFormats="0" applyFontFormats="0" applyPatternFormats="0" applyAlignmentFormats="0" applyWidthHeightFormats="1" dataCaption="Werte" updatedVersion="7" minRefreshableVersion="3" useAutoFormatting="1" itemPrintTitles="1" createdVersion="7" indent="0" outline="1" outlineData="1" multipleFieldFilters="0">
  <location ref="G4:H2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0">
        <item x="6"/>
        <item m="1" x="35"/>
        <item m="1" x="24"/>
        <item m="1" x="31"/>
        <item m="1" x="26"/>
        <item x="3"/>
        <item x="4"/>
        <item m="1" x="34"/>
        <item x="0"/>
        <item x="2"/>
        <item m="1" x="28"/>
        <item x="1"/>
        <item x="8"/>
        <item m="1" x="30"/>
        <item m="1" x="22"/>
        <item m="1" x="23"/>
        <item m="1" x="27"/>
        <item m="1" x="33"/>
        <item m="1" x="25"/>
        <item m="1" x="37"/>
        <item m="1" x="38"/>
        <item m="1" x="32"/>
        <item x="13"/>
        <item x="16"/>
        <item x="14"/>
        <item x="17"/>
        <item x="18"/>
        <item m="1" x="36"/>
        <item x="20"/>
        <item x="21"/>
        <item x="5"/>
        <item m="1" x="29"/>
        <item x="10"/>
        <item x="11"/>
        <item x="12"/>
        <item x="9"/>
        <item x="15"/>
        <item x="1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dataField="1" showAll="0"/>
    <pivotField showAll="0"/>
  </pivotFields>
  <rowFields count="1">
    <field x="12"/>
  </rowFields>
  <rowItems count="22">
    <i>
      <x v="24"/>
    </i>
    <i>
      <x v="25"/>
    </i>
    <i>
      <x v="32"/>
    </i>
    <i>
      <x v="26"/>
    </i>
    <i>
      <x v="28"/>
    </i>
    <i>
      <x v="33"/>
    </i>
    <i>
      <x v="37"/>
    </i>
    <i>
      <x v="35"/>
    </i>
    <i>
      <x v="11"/>
    </i>
    <i>
      <x v="9"/>
    </i>
    <i>
      <x v="30"/>
    </i>
    <i>
      <x v="6"/>
    </i>
    <i>
      <x v="34"/>
    </i>
    <i>
      <x v="29"/>
    </i>
    <i>
      <x/>
    </i>
    <i>
      <x v="8"/>
    </i>
    <i>
      <x v="38"/>
    </i>
    <i>
      <x v="22"/>
    </i>
    <i>
      <x v="23"/>
    </i>
    <i>
      <x v="5"/>
    </i>
    <i>
      <x v="12"/>
    </i>
    <i t="grand">
      <x/>
    </i>
  </rowItems>
  <colItems count="1">
    <i/>
  </colItems>
  <pageFields count="1">
    <pageField fld="14" item="1" hier="-1"/>
  </pageFields>
  <dataFields count="1">
    <dataField name="Summe von Avg_Area_ha" fld="15" baseField="12" baseItem="0"/>
  </dataFields>
  <formats count="1">
    <format dxfId="63">
      <pivotArea collapsedLevelsAreSubtotals="1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44B8C-3499-4020-8F7C-42C8C3A8CD13}" name="Tabelle1" displayName="Tabelle1" ref="A1:W201" totalsRowCount="1" dataDxfId="64">
  <autoFilter ref="A1:W200" xr:uid="{1D044B8C-3499-4020-8F7C-42C8C3A8CD13}"/>
  <tableColumns count="23">
    <tableColumn id="1" xr3:uid="{96E9A6A6-0465-44CE-82D2-9213BB31A147}" name="LNF_code" dataDxfId="60" totalsRowDxfId="21"/>
    <tableColumn id="2" xr3:uid="{C542E3B9-E66D-4E55-A2F4-FE20ABAB7631}" name="Crop_DE" dataDxfId="59" totalsRowDxfId="20"/>
    <tableColumn id="27" xr3:uid="{8A13AA2D-4D68-463E-92A9-49C2ABFA5588}" name="Crop_EN" dataDxfId="58" totalsRowDxfId="19"/>
    <tableColumn id="16" xr3:uid="{874622AC-6E8B-4DB7-83D1-0A79594BCF6F}" name="Crop_FR" dataDxfId="57" totalsRowDxfId="18"/>
    <tableColumn id="14" xr3:uid="{7CA752EA-98E9-4217-B9CD-089E5D7F92E9}" name="Crop_IT" dataDxfId="56" totalsRowDxfId="17"/>
    <tableColumn id="32" xr3:uid="{6F116005-1A57-40C7-9E42-5D36EDFC470E}" name="Valid_from" dataDxfId="55" totalsRowDxfId="16"/>
    <tableColumn id="31" xr3:uid="{B61B6719-14C6-4E89-B65D-85875DB1727A}" name="Valid_until" dataDxfId="54" totalsRowDxfId="15"/>
    <tableColumn id="33" xr3:uid="{A9A0AF60-B5A1-47BB-B569-F7D0D46166F7}" name="Overlapping" dataDxfId="53" totalsRowDxfId="14"/>
    <tableColumn id="34" xr3:uid="{6407EB11-8ADC-423D-A060-9BF5648E400D}" name="BPA_QI " dataDxfId="52" totalsRowDxfId="13"/>
    <tableColumn id="35" xr3:uid="{9AF8D313-3B5B-4559-8EC9-0EBA5676493B}" name="Special_culture" dataDxfId="51" totalsRowDxfId="12"/>
    <tableColumn id="38" xr3:uid="{BF65DCBD-706F-404C-A3DD-04129AC48D94}" name="Crop_Label" dataDxfId="50"/>
    <tableColumn id="10" xr3:uid="{9CE640A3-05AB-4EDE-8308-60863B3AA4ED}" name="Crop_Label_lv1" dataDxfId="49" totalsRowDxfId="11"/>
    <tableColumn id="37" xr3:uid="{BAD8A630-35FE-4C3E-93B3-E326150B7E11}" name="Crop_Label_lv2" dataDxfId="48" totalsRowDxfId="10"/>
    <tableColumn id="12" xr3:uid="{3FEA31D5-AB3A-473C-BFB3-E7725D7D4721}" name="Crop_Label_lv3" dataDxfId="47" totalsRowDxfId="9"/>
    <tableColumn id="13" xr3:uid="{4634BD11-7518-4140-BBC1-2580ECFAB810}" name="Exclude" dataDxfId="46" totalsRowDxfId="8"/>
    <tableColumn id="15" xr3:uid="{6B01CF99-B5C9-41A7-8C77-8B75F941D24F}" name="Avg_Area_ha" dataDxfId="45" totalsRowDxfId="7"/>
    <tableColumn id="17" xr3:uid="{494E986D-D78B-4459-9A17-CAE87BDED4F2}" name="2019_Area_m2" dataDxfId="44" totalsRowDxfId="6"/>
    <tableColumn id="18" xr3:uid="{F6D1145F-EA45-428A-8D95-999C440E72A6}" name="2020_Area_m2" dataDxfId="43" totalsRowDxfId="5"/>
    <tableColumn id="19" xr3:uid="{F51FD4DD-955A-4739-B606-B4ABB7C05804}" name="2021_Area_m22" dataDxfId="42" totalsRowDxfId="4"/>
    <tableColumn id="20" xr3:uid="{4B6E184A-F4BE-4D0C-959D-2D375F107ACB}" name="2022_Area_m23" dataDxfId="41" totalsRowDxfId="3"/>
    <tableColumn id="21" xr3:uid="{FB22B04A-994D-4E02-ABFF-118AB9FB5973}" name="2023_Area_m24" dataDxfId="40" totalsRowDxfId="2"/>
    <tableColumn id="22" xr3:uid="{13BC393E-02D0-4641-AB61-3527E0CCC0E1}" name="2024_Area_m25" dataDxfId="39" totalsRowDxfId="1"/>
    <tableColumn id="23" xr3:uid="{6228BFDE-9B42-47D5-A2EB-A701DFEE7F8A}" name="2025_Area_m26" dataDxfId="38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BDAB-5066-48C1-ACB4-1D13A634647A}">
  <dimension ref="A1:W205"/>
  <sheetViews>
    <sheetView tabSelected="1" topLeftCell="A130" zoomScale="85" zoomScaleNormal="85" workbookViewId="0">
      <pane xSplit="4" topLeftCell="E1" activePane="topRight" state="frozen"/>
      <selection pane="topRight" activeCell="M150" sqref="M150"/>
    </sheetView>
  </sheetViews>
  <sheetFormatPr baseColWidth="10" defaultColWidth="10.58203125" defaultRowHeight="14" x14ac:dyDescent="0.3"/>
  <cols>
    <col min="1" max="1" width="11.5" customWidth="1"/>
    <col min="2" max="2" width="30.58203125" customWidth="1"/>
    <col min="3" max="3" width="33.5" customWidth="1"/>
    <col min="4" max="4" width="12.83203125" customWidth="1"/>
    <col min="5" max="5" width="17.08203125" customWidth="1"/>
    <col min="6" max="10" width="9.83203125" customWidth="1"/>
    <col min="11" max="11" width="12.6640625" style="15" customWidth="1"/>
    <col min="12" max="12" width="24.33203125" customWidth="1"/>
    <col min="13" max="13" width="30.83203125" customWidth="1"/>
    <col min="14" max="14" width="18.58203125" customWidth="1"/>
    <col min="15" max="15" width="17.75" customWidth="1"/>
    <col min="16" max="16" width="9.25" style="18" customWidth="1"/>
    <col min="17" max="17" width="9.58203125" customWidth="1"/>
    <col min="18" max="26" width="10.58203125" customWidth="1"/>
  </cols>
  <sheetData>
    <row r="1" spans="1:23" x14ac:dyDescent="0.3">
      <c r="A1" t="s">
        <v>0</v>
      </c>
      <c r="B1" t="s">
        <v>210</v>
      </c>
      <c r="C1" t="s">
        <v>384</v>
      </c>
      <c r="D1" t="s">
        <v>211</v>
      </c>
      <c r="E1" t="s">
        <v>212</v>
      </c>
      <c r="F1" t="s">
        <v>718</v>
      </c>
      <c r="G1" t="s">
        <v>719</v>
      </c>
      <c r="H1" t="s">
        <v>720</v>
      </c>
      <c r="I1" t="s">
        <v>821</v>
      </c>
      <c r="J1" t="s">
        <v>721</v>
      </c>
      <c r="K1" t="s">
        <v>876</v>
      </c>
      <c r="L1" t="s">
        <v>860</v>
      </c>
      <c r="M1" t="s">
        <v>832</v>
      </c>
      <c r="N1" t="s">
        <v>831</v>
      </c>
      <c r="O1" s="18" t="s">
        <v>431</v>
      </c>
      <c r="P1" t="s">
        <v>822</v>
      </c>
      <c r="Q1" t="s">
        <v>823</v>
      </c>
      <c r="R1" t="s">
        <v>824</v>
      </c>
      <c r="S1" t="s">
        <v>825</v>
      </c>
      <c r="T1" t="s">
        <v>826</v>
      </c>
      <c r="U1" t="s">
        <v>827</v>
      </c>
      <c r="V1" t="s">
        <v>828</v>
      </c>
      <c r="W1" t="s">
        <v>829</v>
      </c>
    </row>
    <row r="2" spans="1:23" x14ac:dyDescent="0.3">
      <c r="A2" s="6">
        <v>501</v>
      </c>
      <c r="B2" s="6" t="s">
        <v>1</v>
      </c>
      <c r="C2" s="6" t="s">
        <v>385</v>
      </c>
      <c r="D2" s="6" t="s">
        <v>275</v>
      </c>
      <c r="E2" s="6" t="s">
        <v>312</v>
      </c>
      <c r="F2" s="6"/>
      <c r="G2" s="6"/>
      <c r="H2" s="6">
        <v>0</v>
      </c>
      <c r="I2" s="6">
        <v>0</v>
      </c>
      <c r="J2" s="6">
        <v>0</v>
      </c>
      <c r="K2" s="6" t="s">
        <v>835</v>
      </c>
      <c r="L2" s="6" t="s">
        <v>835</v>
      </c>
      <c r="M2" s="6" t="s">
        <v>837</v>
      </c>
      <c r="N2" s="6" t="s">
        <v>870</v>
      </c>
      <c r="O2" s="19"/>
      <c r="P2" s="15">
        <f>IF(MAX(Q2:W2)&gt;0,AVERAGEIF(Q2:W2,"&gt;0"),0) / 10000</f>
        <v>783.95213214285718</v>
      </c>
      <c r="Q2" s="15">
        <v>4758855.5</v>
      </c>
      <c r="R2" s="15">
        <v>7858293</v>
      </c>
      <c r="S2" s="15">
        <v>9902205.5</v>
      </c>
      <c r="T2" s="15">
        <v>8415374</v>
      </c>
      <c r="U2" s="15">
        <v>8000433.25</v>
      </c>
      <c r="V2" s="15">
        <v>7563391</v>
      </c>
      <c r="W2" s="15">
        <v>8378097</v>
      </c>
    </row>
    <row r="3" spans="1:23" x14ac:dyDescent="0.3">
      <c r="A3" s="6">
        <v>502</v>
      </c>
      <c r="B3" s="6" t="s">
        <v>2</v>
      </c>
      <c r="C3" s="6" t="s">
        <v>3</v>
      </c>
      <c r="D3" s="6" t="s">
        <v>276</v>
      </c>
      <c r="E3" s="6" t="s">
        <v>313</v>
      </c>
      <c r="F3" s="6"/>
      <c r="G3" s="6"/>
      <c r="H3" s="6">
        <v>0</v>
      </c>
      <c r="I3" s="6">
        <v>0</v>
      </c>
      <c r="J3" s="6">
        <v>0</v>
      </c>
      <c r="K3" s="6" t="s">
        <v>147</v>
      </c>
      <c r="L3" s="6" t="s">
        <v>147</v>
      </c>
      <c r="M3" s="6" t="s">
        <v>193</v>
      </c>
      <c r="N3" s="6" t="s">
        <v>870</v>
      </c>
      <c r="O3" s="19"/>
      <c r="P3" s="15">
        <f t="shared" ref="P3:P9" si="0">IF(MAX(Q3:W3)&gt;0,AVERAGEIF(Q3:W3,"&gt;0"),0) / 10000</f>
        <v>22283.892973532031</v>
      </c>
      <c r="Q3" s="15">
        <v>151343276.28191489</v>
      </c>
      <c r="R3" s="15">
        <v>174301995.61389667</v>
      </c>
      <c r="S3" s="15">
        <v>266631521.01872823</v>
      </c>
      <c r="T3" s="15">
        <v>264194624.95714286</v>
      </c>
      <c r="U3" s="15">
        <v>252452508.6875</v>
      </c>
      <c r="V3" s="15">
        <v>236977753.5785476</v>
      </c>
      <c r="W3" s="15">
        <v>213970828.00951207</v>
      </c>
    </row>
    <row r="4" spans="1:23" x14ac:dyDescent="0.3">
      <c r="A4" s="6">
        <v>504</v>
      </c>
      <c r="B4" s="6" t="s">
        <v>4</v>
      </c>
      <c r="C4" s="6" t="s">
        <v>386</v>
      </c>
      <c r="D4" s="6" t="s">
        <v>277</v>
      </c>
      <c r="E4" s="6" t="s">
        <v>314</v>
      </c>
      <c r="F4" s="6"/>
      <c r="G4" s="6"/>
      <c r="H4" s="6">
        <v>0</v>
      </c>
      <c r="I4" s="6">
        <v>0</v>
      </c>
      <c r="J4" s="6">
        <v>0</v>
      </c>
      <c r="K4" s="6" t="s">
        <v>5</v>
      </c>
      <c r="L4" s="6" t="s">
        <v>5</v>
      </c>
      <c r="M4" s="6" t="s">
        <v>837</v>
      </c>
      <c r="N4" s="6" t="s">
        <v>870</v>
      </c>
      <c r="O4" s="19"/>
      <c r="P4" s="15">
        <f t="shared" si="0"/>
        <v>1947.3698666029147</v>
      </c>
      <c r="Q4" s="15">
        <v>8422953.5</v>
      </c>
      <c r="R4" s="15">
        <v>10354388.5</v>
      </c>
      <c r="S4" s="15">
        <v>18914027.5</v>
      </c>
      <c r="T4" s="15">
        <v>27807029.727380954</v>
      </c>
      <c r="U4" s="15">
        <v>28375474.166666668</v>
      </c>
      <c r="V4" s="15">
        <v>21135619.768156428</v>
      </c>
      <c r="W4" s="15">
        <v>21306397.5</v>
      </c>
    </row>
    <row r="5" spans="1:23" x14ac:dyDescent="0.3">
      <c r="A5" s="6">
        <v>505</v>
      </c>
      <c r="B5" s="6" t="s">
        <v>6</v>
      </c>
      <c r="C5" s="6" t="s">
        <v>6</v>
      </c>
      <c r="D5" s="6" t="s">
        <v>6</v>
      </c>
      <c r="E5" s="6" t="s">
        <v>6</v>
      </c>
      <c r="F5" s="6"/>
      <c r="G5" s="6"/>
      <c r="H5" s="6">
        <v>0</v>
      </c>
      <c r="I5" s="6">
        <v>0</v>
      </c>
      <c r="J5" s="6">
        <v>0</v>
      </c>
      <c r="K5" s="6" t="s">
        <v>6</v>
      </c>
      <c r="L5" s="6" t="s">
        <v>6</v>
      </c>
      <c r="M5" s="6" t="s">
        <v>193</v>
      </c>
      <c r="N5" s="6" t="s">
        <v>870</v>
      </c>
      <c r="O5" s="19"/>
      <c r="P5" s="15">
        <f t="shared" si="0"/>
        <v>5951.3404074107148</v>
      </c>
      <c r="Q5" s="15">
        <v>39073434</v>
      </c>
      <c r="R5" s="15">
        <v>43338231.299999997</v>
      </c>
      <c r="S5" s="15">
        <v>73901245.75</v>
      </c>
      <c r="T5" s="15">
        <v>70658684.5</v>
      </c>
      <c r="U5" s="15">
        <v>64650102.5</v>
      </c>
      <c r="V5" s="15">
        <v>60583415.96875</v>
      </c>
      <c r="W5" s="15">
        <v>64388714.5</v>
      </c>
    </row>
    <row r="6" spans="1:23" x14ac:dyDescent="0.3">
      <c r="A6" s="6">
        <v>506</v>
      </c>
      <c r="B6" s="6" t="s">
        <v>7</v>
      </c>
      <c r="C6" s="6" t="s">
        <v>387</v>
      </c>
      <c r="D6" s="6" t="s">
        <v>278</v>
      </c>
      <c r="E6" s="6" t="s">
        <v>315</v>
      </c>
      <c r="F6" s="6"/>
      <c r="G6" s="6"/>
      <c r="H6" s="6">
        <v>0</v>
      </c>
      <c r="I6" s="6">
        <v>0</v>
      </c>
      <c r="J6" s="6">
        <v>0</v>
      </c>
      <c r="K6" s="6" t="s">
        <v>842</v>
      </c>
      <c r="L6" s="6" t="s">
        <v>184</v>
      </c>
      <c r="M6" s="6" t="s">
        <v>193</v>
      </c>
      <c r="N6" s="6" t="s">
        <v>870</v>
      </c>
      <c r="O6" s="20" t="s">
        <v>178</v>
      </c>
      <c r="P6" s="15">
        <f t="shared" si="0"/>
        <v>220.23700714285712</v>
      </c>
      <c r="Q6" s="15">
        <v>1791629</v>
      </c>
      <c r="R6" s="15">
        <v>1851730</v>
      </c>
      <c r="S6" s="15">
        <v>2093426.5</v>
      </c>
      <c r="T6" s="15">
        <v>2386863.5</v>
      </c>
      <c r="U6" s="15">
        <v>2362232</v>
      </c>
      <c r="V6" s="15">
        <v>2647328.5</v>
      </c>
      <c r="W6" s="15">
        <v>2283381</v>
      </c>
    </row>
    <row r="7" spans="1:23" x14ac:dyDescent="0.3">
      <c r="A7" s="6">
        <v>507</v>
      </c>
      <c r="B7" s="6" t="s">
        <v>8</v>
      </c>
      <c r="C7" s="6" t="s">
        <v>388</v>
      </c>
      <c r="D7" s="6" t="s">
        <v>279</v>
      </c>
      <c r="E7" s="6" t="s">
        <v>316</v>
      </c>
      <c r="F7" s="6"/>
      <c r="G7" s="6"/>
      <c r="H7" s="6">
        <v>0</v>
      </c>
      <c r="I7" s="6">
        <v>0</v>
      </c>
      <c r="J7" s="6">
        <v>0</v>
      </c>
      <c r="K7" s="6" t="s">
        <v>146</v>
      </c>
      <c r="L7" s="6" t="s">
        <v>146</v>
      </c>
      <c r="M7" s="6" t="s">
        <v>193</v>
      </c>
      <c r="N7" s="6" t="s">
        <v>870</v>
      </c>
      <c r="O7" s="19"/>
      <c r="P7" s="15">
        <f t="shared" si="0"/>
        <v>7671.7773209235211</v>
      </c>
      <c r="Q7" s="15">
        <v>35567882</v>
      </c>
      <c r="R7" s="15">
        <v>64194882.5</v>
      </c>
      <c r="S7" s="15">
        <v>96372938.5</v>
      </c>
      <c r="T7" s="15">
        <v>92349707.777777776</v>
      </c>
      <c r="U7" s="15">
        <v>84472859.25</v>
      </c>
      <c r="V7" s="15">
        <v>76760695.659090906</v>
      </c>
      <c r="W7" s="15">
        <v>87305446.777777776</v>
      </c>
    </row>
    <row r="8" spans="1:23" x14ac:dyDescent="0.3">
      <c r="A8" s="6">
        <v>508</v>
      </c>
      <c r="B8" s="6" t="s">
        <v>9</v>
      </c>
      <c r="C8" s="6" t="s">
        <v>389</v>
      </c>
      <c r="D8" s="6" t="s">
        <v>280</v>
      </c>
      <c r="E8" s="6" t="s">
        <v>317</v>
      </c>
      <c r="F8" s="6"/>
      <c r="G8" s="6"/>
      <c r="H8" s="6">
        <v>0</v>
      </c>
      <c r="I8" s="6">
        <v>0</v>
      </c>
      <c r="J8" s="6">
        <v>0</v>
      </c>
      <c r="K8" s="6" t="s">
        <v>839</v>
      </c>
      <c r="L8" s="6" t="s">
        <v>839</v>
      </c>
      <c r="M8" s="6" t="s">
        <v>192</v>
      </c>
      <c r="N8" s="6" t="s">
        <v>870</v>
      </c>
      <c r="O8" s="19"/>
      <c r="P8" s="15">
        <f t="shared" si="0"/>
        <v>14623.443504270146</v>
      </c>
      <c r="Q8" s="15">
        <v>105991678</v>
      </c>
      <c r="R8" s="15">
        <v>128461686.08333333</v>
      </c>
      <c r="S8" s="15">
        <v>169846541.65307692</v>
      </c>
      <c r="T8" s="15">
        <v>154588271.75</v>
      </c>
      <c r="U8" s="15">
        <v>152600518</v>
      </c>
      <c r="V8" s="15">
        <v>152916032.8125</v>
      </c>
      <c r="W8" s="15">
        <v>159236317</v>
      </c>
    </row>
    <row r="9" spans="1:23" x14ac:dyDescent="0.3">
      <c r="A9" s="6">
        <v>509</v>
      </c>
      <c r="B9" s="6" t="s">
        <v>152</v>
      </c>
      <c r="C9" s="6" t="s">
        <v>153</v>
      </c>
      <c r="D9" s="6" t="s">
        <v>281</v>
      </c>
      <c r="E9" s="6" t="s">
        <v>318</v>
      </c>
      <c r="F9" s="6"/>
      <c r="G9" s="6">
        <v>2022</v>
      </c>
      <c r="H9" s="6">
        <v>0</v>
      </c>
      <c r="I9" s="6">
        <v>0</v>
      </c>
      <c r="J9" s="6">
        <v>0</v>
      </c>
      <c r="K9" s="6" t="s">
        <v>153</v>
      </c>
      <c r="L9" s="6" t="s">
        <v>153</v>
      </c>
      <c r="M9" s="6" t="s">
        <v>153</v>
      </c>
      <c r="N9" s="6" t="s">
        <v>870</v>
      </c>
      <c r="O9" s="19"/>
      <c r="P9" s="15">
        <f t="shared" si="0"/>
        <v>64.731162499999996</v>
      </c>
      <c r="Q9" s="15">
        <v>15543</v>
      </c>
      <c r="R9" s="15">
        <v>867157.5</v>
      </c>
      <c r="S9" s="15">
        <v>1068863.5</v>
      </c>
      <c r="T9" s="15">
        <v>637682.5</v>
      </c>
      <c r="U9" s="15">
        <v>0</v>
      </c>
      <c r="V9" s="15">
        <v>0</v>
      </c>
      <c r="W9" s="15">
        <v>0</v>
      </c>
    </row>
    <row r="10" spans="1:23" x14ac:dyDescent="0.3">
      <c r="A10" s="6">
        <v>510</v>
      </c>
      <c r="B10" s="6" t="s">
        <v>195</v>
      </c>
      <c r="C10" s="6" t="s">
        <v>196</v>
      </c>
      <c r="D10" s="6" t="s">
        <v>282</v>
      </c>
      <c r="E10" s="6" t="s">
        <v>319</v>
      </c>
      <c r="F10" s="6">
        <v>2023</v>
      </c>
      <c r="G10" s="6"/>
      <c r="H10" s="6">
        <v>0</v>
      </c>
      <c r="I10" s="6">
        <v>0</v>
      </c>
      <c r="J10" s="6">
        <v>0</v>
      </c>
      <c r="K10" s="6" t="s">
        <v>844</v>
      </c>
      <c r="L10" s="6" t="s">
        <v>184</v>
      </c>
      <c r="M10" s="6" t="s">
        <v>193</v>
      </c>
      <c r="N10" s="6" t="s">
        <v>870</v>
      </c>
      <c r="O10" s="20" t="s">
        <v>178</v>
      </c>
      <c r="P10" s="15">
        <f>IF(MAX(Q10:W10)&gt;0,AVERAGEIF(Q10:W10,"&gt;0"),0) / 10000</f>
        <v>283.06594999999999</v>
      </c>
      <c r="Q10" s="15">
        <v>0</v>
      </c>
      <c r="R10" s="15">
        <v>0</v>
      </c>
      <c r="S10" s="15">
        <v>0</v>
      </c>
      <c r="T10" s="15">
        <v>0</v>
      </c>
      <c r="U10" s="15">
        <v>3096723</v>
      </c>
      <c r="V10" s="15">
        <v>3784012</v>
      </c>
      <c r="W10" s="15">
        <v>1611243.5</v>
      </c>
    </row>
    <row r="11" spans="1:23" x14ac:dyDescent="0.3">
      <c r="A11" s="6">
        <v>511</v>
      </c>
      <c r="B11" s="6" t="s">
        <v>10</v>
      </c>
      <c r="C11" s="6" t="s">
        <v>10</v>
      </c>
      <c r="D11" s="6" t="s">
        <v>283</v>
      </c>
      <c r="E11" s="6" t="s">
        <v>320</v>
      </c>
      <c r="F11" s="6"/>
      <c r="G11" s="6"/>
      <c r="H11" s="6">
        <v>0</v>
      </c>
      <c r="I11" s="6">
        <v>0</v>
      </c>
      <c r="J11" s="6">
        <v>0</v>
      </c>
      <c r="K11" s="6" t="s">
        <v>846</v>
      </c>
      <c r="L11" s="6" t="s">
        <v>184</v>
      </c>
      <c r="M11" s="6" t="s">
        <v>193</v>
      </c>
      <c r="N11" s="6" t="s">
        <v>870</v>
      </c>
      <c r="O11" s="20" t="s">
        <v>178</v>
      </c>
      <c r="P11" s="15">
        <f t="shared" ref="P11:P29" si="1">IF(MAX(Q11:W11)&gt;0,AVERAGEIF(Q11:W11,"&gt;0"),0) / 10000</f>
        <v>283.50887678571428</v>
      </c>
      <c r="Q11" s="15">
        <v>3725531.5</v>
      </c>
      <c r="R11" s="15">
        <v>2875601</v>
      </c>
      <c r="S11" s="15">
        <v>1975986.5</v>
      </c>
      <c r="T11" s="15">
        <v>3840547</v>
      </c>
      <c r="U11" s="15">
        <v>4146042.375</v>
      </c>
      <c r="V11" s="15">
        <v>1614156</v>
      </c>
      <c r="W11" s="15">
        <v>1667757</v>
      </c>
    </row>
    <row r="12" spans="1:23" x14ac:dyDescent="0.3">
      <c r="A12" s="6">
        <v>512</v>
      </c>
      <c r="B12" s="6" t="s">
        <v>11</v>
      </c>
      <c r="C12" s="6" t="s">
        <v>390</v>
      </c>
      <c r="D12" s="6" t="s">
        <v>284</v>
      </c>
      <c r="E12" s="6" t="s">
        <v>321</v>
      </c>
      <c r="F12" s="6"/>
      <c r="G12" s="6"/>
      <c r="H12" s="6">
        <v>0</v>
      </c>
      <c r="I12" s="6">
        <v>0</v>
      </c>
      <c r="J12" s="6">
        <v>0</v>
      </c>
      <c r="K12" s="6" t="s">
        <v>836</v>
      </c>
      <c r="L12" s="6" t="s">
        <v>836</v>
      </c>
      <c r="M12" s="6" t="s">
        <v>837</v>
      </c>
      <c r="N12" s="6" t="s">
        <v>870</v>
      </c>
      <c r="O12" s="19"/>
      <c r="P12" s="15">
        <f t="shared" si="1"/>
        <v>1448.6381081632653</v>
      </c>
      <c r="Q12" s="15">
        <v>4397936.2857142854</v>
      </c>
      <c r="R12" s="15">
        <v>13972422.785714285</v>
      </c>
      <c r="S12" s="15">
        <v>11530894</v>
      </c>
      <c r="T12" s="15">
        <v>10593846.5</v>
      </c>
      <c r="U12" s="15">
        <v>12724334.5</v>
      </c>
      <c r="V12" s="15">
        <v>38104901.5</v>
      </c>
      <c r="W12" s="15">
        <v>10080332</v>
      </c>
    </row>
    <row r="13" spans="1:23" x14ac:dyDescent="0.3">
      <c r="A13" s="6">
        <v>513</v>
      </c>
      <c r="B13" s="6" t="s">
        <v>12</v>
      </c>
      <c r="C13" s="6" t="s">
        <v>391</v>
      </c>
      <c r="D13" s="6" t="s">
        <v>285</v>
      </c>
      <c r="E13" s="6" t="s">
        <v>322</v>
      </c>
      <c r="F13" s="6"/>
      <c r="G13" s="6"/>
      <c r="H13" s="6">
        <v>0</v>
      </c>
      <c r="I13" s="6">
        <v>0</v>
      </c>
      <c r="J13" s="6">
        <v>0</v>
      </c>
      <c r="K13" s="6" t="s">
        <v>146</v>
      </c>
      <c r="L13" s="6" t="s">
        <v>146</v>
      </c>
      <c r="M13" s="6" t="s">
        <v>193</v>
      </c>
      <c r="N13" s="6" t="s">
        <v>870</v>
      </c>
      <c r="O13" s="19"/>
      <c r="P13" s="15">
        <f t="shared" si="1"/>
        <v>62816.710120987693</v>
      </c>
      <c r="Q13" s="15">
        <v>489299182.05727535</v>
      </c>
      <c r="R13" s="15">
        <v>483448746.625</v>
      </c>
      <c r="S13" s="15">
        <v>705894900.43546021</v>
      </c>
      <c r="T13" s="15">
        <v>694036649.78654301</v>
      </c>
      <c r="U13" s="15">
        <v>673060109.75202477</v>
      </c>
      <c r="V13" s="15">
        <v>647531155.91154003</v>
      </c>
      <c r="W13" s="15">
        <v>703898963.90129507</v>
      </c>
    </row>
    <row r="14" spans="1:23" x14ac:dyDescent="0.3">
      <c r="A14" s="6">
        <v>514</v>
      </c>
      <c r="B14" s="6" t="s">
        <v>13</v>
      </c>
      <c r="C14" s="6" t="s">
        <v>14</v>
      </c>
      <c r="D14" s="6" t="s">
        <v>286</v>
      </c>
      <c r="E14" s="6" t="s">
        <v>323</v>
      </c>
      <c r="F14" s="6"/>
      <c r="G14" s="6"/>
      <c r="H14" s="6">
        <v>0</v>
      </c>
      <c r="I14" s="6">
        <v>0</v>
      </c>
      <c r="J14" s="6">
        <v>0</v>
      </c>
      <c r="K14" s="6" t="s">
        <v>14</v>
      </c>
      <c r="L14" s="6" t="s">
        <v>14</v>
      </c>
      <c r="M14" s="6" t="s">
        <v>193</v>
      </c>
      <c r="N14" s="6" t="s">
        <v>870</v>
      </c>
      <c r="O14" s="19"/>
      <c r="P14" s="15">
        <f t="shared" si="1"/>
        <v>1681.443201098901</v>
      </c>
      <c r="Q14" s="15">
        <v>9744185</v>
      </c>
      <c r="R14" s="15">
        <v>11622510</v>
      </c>
      <c r="S14" s="15">
        <v>17706278</v>
      </c>
      <c r="T14" s="15">
        <v>18052558</v>
      </c>
      <c r="U14" s="15">
        <v>20564782.5</v>
      </c>
      <c r="V14" s="15">
        <v>19317704.576923076</v>
      </c>
      <c r="W14" s="15">
        <v>20693006</v>
      </c>
    </row>
    <row r="15" spans="1:23" x14ac:dyDescent="0.3">
      <c r="A15" s="6">
        <v>515</v>
      </c>
      <c r="B15" s="6" t="s">
        <v>15</v>
      </c>
      <c r="C15" s="6" t="s">
        <v>392</v>
      </c>
      <c r="D15" s="6" t="s">
        <v>287</v>
      </c>
      <c r="E15" s="6" t="s">
        <v>324</v>
      </c>
      <c r="F15" s="6"/>
      <c r="G15" s="6"/>
      <c r="H15" s="6">
        <v>0</v>
      </c>
      <c r="I15" s="6">
        <v>0</v>
      </c>
      <c r="J15" s="6">
        <v>0</v>
      </c>
      <c r="K15" s="6" t="s">
        <v>842</v>
      </c>
      <c r="L15" s="6" t="s">
        <v>184</v>
      </c>
      <c r="M15" s="6" t="s">
        <v>193</v>
      </c>
      <c r="N15" s="6" t="s">
        <v>870</v>
      </c>
      <c r="O15" s="20" t="s">
        <v>178</v>
      </c>
      <c r="P15" s="15">
        <f t="shared" si="1"/>
        <v>45.726514285714281</v>
      </c>
      <c r="Q15" s="15">
        <v>110129</v>
      </c>
      <c r="R15" s="15">
        <v>319681.5</v>
      </c>
      <c r="S15" s="15">
        <v>393662.5</v>
      </c>
      <c r="T15" s="15">
        <v>579171.5</v>
      </c>
      <c r="U15" s="15">
        <v>533206</v>
      </c>
      <c r="V15" s="15">
        <v>572825.5</v>
      </c>
      <c r="W15" s="15">
        <v>692180</v>
      </c>
    </row>
    <row r="16" spans="1:23" x14ac:dyDescent="0.3">
      <c r="A16" s="6">
        <v>516</v>
      </c>
      <c r="B16" s="6" t="s">
        <v>16</v>
      </c>
      <c r="C16" s="6" t="s">
        <v>17</v>
      </c>
      <c r="D16" s="6" t="s">
        <v>288</v>
      </c>
      <c r="E16" s="6" t="s">
        <v>325</v>
      </c>
      <c r="F16" s="6"/>
      <c r="G16" s="6"/>
      <c r="H16" s="6">
        <v>0</v>
      </c>
      <c r="I16" s="6">
        <v>0</v>
      </c>
      <c r="J16" s="6">
        <v>0</v>
      </c>
      <c r="K16" s="6" t="s">
        <v>17</v>
      </c>
      <c r="L16" s="6" t="s">
        <v>17</v>
      </c>
      <c r="M16" s="6" t="s">
        <v>193</v>
      </c>
      <c r="N16" s="6" t="s">
        <v>870</v>
      </c>
      <c r="O16" s="19"/>
      <c r="P16" s="15">
        <f t="shared" si="1"/>
        <v>6325.2368508246263</v>
      </c>
      <c r="Q16" s="15">
        <v>33218261.654545456</v>
      </c>
      <c r="R16" s="15">
        <v>39438305.327160493</v>
      </c>
      <c r="S16" s="15">
        <v>65997595.363896661</v>
      </c>
      <c r="T16" s="15">
        <v>78846937.5</v>
      </c>
      <c r="U16" s="15">
        <v>84260613</v>
      </c>
      <c r="V16" s="15">
        <v>68757574</v>
      </c>
      <c r="W16" s="15">
        <v>72247292.712121218</v>
      </c>
    </row>
    <row r="17" spans="1:23" x14ac:dyDescent="0.3">
      <c r="A17" s="6">
        <v>519</v>
      </c>
      <c r="B17" s="6" t="s">
        <v>18</v>
      </c>
      <c r="C17" s="6" t="s">
        <v>393</v>
      </c>
      <c r="D17" s="6" t="s">
        <v>289</v>
      </c>
      <c r="E17" s="6" t="s">
        <v>326</v>
      </c>
      <c r="F17" s="6"/>
      <c r="G17" s="6"/>
      <c r="H17" s="6">
        <v>0</v>
      </c>
      <c r="I17" s="6">
        <v>0</v>
      </c>
      <c r="J17" s="6">
        <v>0</v>
      </c>
      <c r="K17" s="6" t="s">
        <v>839</v>
      </c>
      <c r="L17" s="6" t="s">
        <v>839</v>
      </c>
      <c r="M17" s="6" t="s">
        <v>192</v>
      </c>
      <c r="N17" s="6" t="s">
        <v>870</v>
      </c>
      <c r="O17" s="19"/>
      <c r="P17" s="15">
        <f t="shared" si="1"/>
        <v>157.98390714285713</v>
      </c>
      <c r="Q17" s="15">
        <v>1616425.5</v>
      </c>
      <c r="R17" s="15">
        <v>1866468</v>
      </c>
      <c r="S17" s="15">
        <v>1656461</v>
      </c>
      <c r="T17" s="15">
        <v>1864125</v>
      </c>
      <c r="U17" s="15">
        <v>1468136.5</v>
      </c>
      <c r="V17" s="15">
        <v>1290739</v>
      </c>
      <c r="W17" s="15">
        <v>1296518.5</v>
      </c>
    </row>
    <row r="18" spans="1:23" x14ac:dyDescent="0.3">
      <c r="A18" s="6">
        <v>520</v>
      </c>
      <c r="B18" s="6" t="s">
        <v>197</v>
      </c>
      <c r="C18" s="6" t="s">
        <v>394</v>
      </c>
      <c r="D18" s="7" t="s">
        <v>290</v>
      </c>
      <c r="E18" s="7" t="s">
        <v>327</v>
      </c>
      <c r="F18" s="7">
        <v>2023</v>
      </c>
      <c r="G18" s="7"/>
      <c r="H18" s="7">
        <v>0</v>
      </c>
      <c r="I18" s="7">
        <v>0</v>
      </c>
      <c r="J18" s="7">
        <v>0</v>
      </c>
      <c r="K18" s="6" t="s">
        <v>153</v>
      </c>
      <c r="L18" s="6" t="s">
        <v>153</v>
      </c>
      <c r="M18" s="6" t="s">
        <v>153</v>
      </c>
      <c r="N18" s="6" t="s">
        <v>870</v>
      </c>
      <c r="O18" s="19"/>
      <c r="P18" s="15">
        <f t="shared" si="1"/>
        <v>56.367616666666663</v>
      </c>
      <c r="Q18" s="15">
        <v>0</v>
      </c>
      <c r="R18" s="15">
        <v>0</v>
      </c>
      <c r="S18" s="15">
        <v>0</v>
      </c>
      <c r="T18" s="15">
        <v>0</v>
      </c>
      <c r="U18" s="15">
        <v>549865</v>
      </c>
      <c r="V18" s="15">
        <v>605460.5</v>
      </c>
      <c r="W18" s="15">
        <v>535703</v>
      </c>
    </row>
    <row r="19" spans="1:23" x14ac:dyDescent="0.3">
      <c r="A19" s="6">
        <v>521</v>
      </c>
      <c r="B19" s="6" t="s">
        <v>19</v>
      </c>
      <c r="C19" s="6" t="s">
        <v>395</v>
      </c>
      <c r="D19" s="6" t="s">
        <v>291</v>
      </c>
      <c r="E19" s="6" t="s">
        <v>328</v>
      </c>
      <c r="F19" s="6"/>
      <c r="G19" s="6"/>
      <c r="H19" s="6">
        <v>0</v>
      </c>
      <c r="I19" s="6">
        <v>0</v>
      </c>
      <c r="J19" s="6">
        <v>0</v>
      </c>
      <c r="K19" s="6" t="s">
        <v>840</v>
      </c>
      <c r="L19" s="6" t="s">
        <v>840</v>
      </c>
      <c r="M19" s="6" t="s">
        <v>192</v>
      </c>
      <c r="N19" s="6" t="s">
        <v>870</v>
      </c>
      <c r="O19" s="19"/>
      <c r="P19" s="15">
        <f t="shared" si="1"/>
        <v>42553.314287612768</v>
      </c>
      <c r="Q19" s="15">
        <v>283573484.76578414</v>
      </c>
      <c r="R19" s="15">
        <v>321069509.05436575</v>
      </c>
      <c r="S19" s="15">
        <v>452015525.875</v>
      </c>
      <c r="T19" s="15">
        <v>460528601.87096775</v>
      </c>
      <c r="U19" s="15">
        <v>467384124.96268505</v>
      </c>
      <c r="V19" s="15">
        <v>489427045.27599078</v>
      </c>
      <c r="W19" s="15">
        <v>504733708.32809973</v>
      </c>
    </row>
    <row r="20" spans="1:23" x14ac:dyDescent="0.3">
      <c r="A20" s="6">
        <v>522</v>
      </c>
      <c r="B20" s="6" t="s">
        <v>20</v>
      </c>
      <c r="C20" s="6" t="s">
        <v>21</v>
      </c>
      <c r="D20" s="6" t="s">
        <v>292</v>
      </c>
      <c r="E20" s="6" t="s">
        <v>329</v>
      </c>
      <c r="F20" s="6"/>
      <c r="G20" s="6"/>
      <c r="H20" s="6">
        <v>0</v>
      </c>
      <c r="I20" s="6">
        <v>0</v>
      </c>
      <c r="J20" s="6">
        <v>0</v>
      </c>
      <c r="K20" s="6" t="s">
        <v>179</v>
      </c>
      <c r="L20" s="6" t="s">
        <v>179</v>
      </c>
      <c r="M20" s="6" t="s">
        <v>190</v>
      </c>
      <c r="N20" s="6" t="s">
        <v>870</v>
      </c>
      <c r="O20" s="19"/>
      <c r="P20" s="15">
        <f t="shared" si="1"/>
        <v>14966.840917132518</v>
      </c>
      <c r="Q20" s="15">
        <v>115236702.87935026</v>
      </c>
      <c r="R20" s="15">
        <v>117213615.44866619</v>
      </c>
      <c r="S20" s="15">
        <v>160001146.63664275</v>
      </c>
      <c r="T20" s="15">
        <v>155486859.70203543</v>
      </c>
      <c r="U20" s="15">
        <v>160121482.41486162</v>
      </c>
      <c r="V20" s="15">
        <v>166396480.32163265</v>
      </c>
      <c r="W20" s="15">
        <v>173222576.79608727</v>
      </c>
    </row>
    <row r="21" spans="1:23" x14ac:dyDescent="0.3">
      <c r="A21" s="6">
        <v>523</v>
      </c>
      <c r="B21" s="6" t="s">
        <v>22</v>
      </c>
      <c r="C21" s="6" t="s">
        <v>396</v>
      </c>
      <c r="D21" s="6" t="s">
        <v>293</v>
      </c>
      <c r="E21" s="6" t="s">
        <v>330</v>
      </c>
      <c r="F21" s="6"/>
      <c r="G21" s="6"/>
      <c r="H21" s="6">
        <v>0</v>
      </c>
      <c r="I21" s="6">
        <v>0</v>
      </c>
      <c r="J21" s="6">
        <v>0</v>
      </c>
      <c r="K21" s="6" t="s">
        <v>23</v>
      </c>
      <c r="L21" s="6" t="s">
        <v>23</v>
      </c>
      <c r="M21" s="6" t="s">
        <v>190</v>
      </c>
      <c r="N21" s="6" t="s">
        <v>870</v>
      </c>
      <c r="O21" s="19"/>
      <c r="P21" s="15">
        <f t="shared" si="1"/>
        <v>283.98903571428571</v>
      </c>
      <c r="Q21" s="15">
        <v>1471582</v>
      </c>
      <c r="R21" s="15">
        <v>1870306.5</v>
      </c>
      <c r="S21" s="15">
        <v>3719776</v>
      </c>
      <c r="T21" s="15">
        <v>3496949</v>
      </c>
      <c r="U21" s="15">
        <v>3215470.5</v>
      </c>
      <c r="V21" s="15">
        <v>3190677.5</v>
      </c>
      <c r="W21" s="15">
        <v>2914471</v>
      </c>
    </row>
    <row r="22" spans="1:23" x14ac:dyDescent="0.3">
      <c r="A22" s="6">
        <v>524</v>
      </c>
      <c r="B22" s="6" t="s">
        <v>24</v>
      </c>
      <c r="C22" s="6" t="s">
        <v>25</v>
      </c>
      <c r="D22" s="6" t="s">
        <v>294</v>
      </c>
      <c r="E22" s="6" t="s">
        <v>331</v>
      </c>
      <c r="F22" s="6"/>
      <c r="G22" s="6"/>
      <c r="H22" s="6">
        <v>0</v>
      </c>
      <c r="I22" s="6">
        <v>0</v>
      </c>
      <c r="J22" s="6">
        <v>0</v>
      </c>
      <c r="K22" s="6" t="s">
        <v>25</v>
      </c>
      <c r="L22" s="6" t="s">
        <v>25</v>
      </c>
      <c r="M22" s="6" t="s">
        <v>190</v>
      </c>
      <c r="N22" s="6" t="s">
        <v>870</v>
      </c>
      <c r="O22" s="19"/>
      <c r="P22" s="15">
        <f t="shared" si="1"/>
        <v>7944.6370557463433</v>
      </c>
      <c r="Q22" s="15">
        <v>45049718.344827585</v>
      </c>
      <c r="R22" s="15">
        <v>47831535.053607024</v>
      </c>
      <c r="S22" s="15">
        <v>91822659.272954673</v>
      </c>
      <c r="T22" s="15">
        <v>91860771.527176186</v>
      </c>
      <c r="U22" s="15">
        <v>91618572.512390748</v>
      </c>
      <c r="V22" s="15">
        <v>92474504.316287875</v>
      </c>
      <c r="W22" s="15">
        <v>95466832.875</v>
      </c>
    </row>
    <row r="23" spans="1:23" x14ac:dyDescent="0.3">
      <c r="A23" s="6">
        <v>525</v>
      </c>
      <c r="B23" s="6" t="s">
        <v>26</v>
      </c>
      <c r="C23" s="6" t="s">
        <v>397</v>
      </c>
      <c r="D23" s="6" t="s">
        <v>295</v>
      </c>
      <c r="E23" s="6" t="s">
        <v>332</v>
      </c>
      <c r="F23" s="6"/>
      <c r="G23" s="6"/>
      <c r="H23" s="6">
        <v>0</v>
      </c>
      <c r="I23" s="6">
        <v>0</v>
      </c>
      <c r="J23" s="6">
        <v>0</v>
      </c>
      <c r="K23" s="6" t="s">
        <v>25</v>
      </c>
      <c r="L23" s="6" t="s">
        <v>25</v>
      </c>
      <c r="M23" s="6" t="s">
        <v>190</v>
      </c>
      <c r="N23" s="6" t="s">
        <v>870</v>
      </c>
      <c r="O23" s="19"/>
      <c r="P23" s="15">
        <f t="shared" si="1"/>
        <v>1190.1565096712241</v>
      </c>
      <c r="Q23" s="15">
        <v>5009877.5</v>
      </c>
      <c r="R23" s="15">
        <v>5168040</v>
      </c>
      <c r="S23" s="15">
        <v>14988793.785714285</v>
      </c>
      <c r="T23" s="15">
        <v>14866894.653846154</v>
      </c>
      <c r="U23" s="15">
        <v>14794863.737425243</v>
      </c>
      <c r="V23" s="15">
        <v>14129631</v>
      </c>
      <c r="W23" s="15">
        <v>14352855</v>
      </c>
    </row>
    <row r="24" spans="1:23" x14ac:dyDescent="0.3">
      <c r="A24" s="6">
        <v>526</v>
      </c>
      <c r="B24" s="6" t="s">
        <v>27</v>
      </c>
      <c r="C24" s="6" t="s">
        <v>398</v>
      </c>
      <c r="D24" s="6" t="s">
        <v>296</v>
      </c>
      <c r="E24" s="6" t="s">
        <v>333</v>
      </c>
      <c r="F24" s="6"/>
      <c r="G24" s="6"/>
      <c r="H24" s="6">
        <v>0</v>
      </c>
      <c r="I24" s="6">
        <v>0</v>
      </c>
      <c r="J24" s="6">
        <v>0</v>
      </c>
      <c r="K24" s="11" t="s">
        <v>843</v>
      </c>
      <c r="L24" s="6" t="s">
        <v>186</v>
      </c>
      <c r="M24" s="6" t="s">
        <v>859</v>
      </c>
      <c r="N24" s="6" t="s">
        <v>870</v>
      </c>
      <c r="O24" s="19"/>
      <c r="P24" s="15">
        <f t="shared" si="1"/>
        <v>88.942621428571428</v>
      </c>
      <c r="Q24" s="15">
        <v>699904.5</v>
      </c>
      <c r="R24" s="15">
        <v>550863.5</v>
      </c>
      <c r="S24" s="15">
        <v>1232502.5</v>
      </c>
      <c r="T24" s="15">
        <v>942599.5</v>
      </c>
      <c r="U24" s="15">
        <v>1064886</v>
      </c>
      <c r="V24" s="15">
        <v>596624.5</v>
      </c>
      <c r="W24" s="15">
        <v>1138603</v>
      </c>
    </row>
    <row r="25" spans="1:23" x14ac:dyDescent="0.3">
      <c r="A25" s="6">
        <v>527</v>
      </c>
      <c r="B25" s="6" t="s">
        <v>28</v>
      </c>
      <c r="C25" s="6" t="s">
        <v>399</v>
      </c>
      <c r="D25" s="6" t="s">
        <v>297</v>
      </c>
      <c r="E25" s="6" t="s">
        <v>334</v>
      </c>
      <c r="F25" s="6"/>
      <c r="G25" s="6"/>
      <c r="H25" s="6">
        <v>0</v>
      </c>
      <c r="I25" s="6">
        <v>0</v>
      </c>
      <c r="J25" s="6">
        <v>0</v>
      </c>
      <c r="K25" s="17" t="s">
        <v>145</v>
      </c>
      <c r="L25" s="6" t="s">
        <v>186</v>
      </c>
      <c r="M25" s="6" t="s">
        <v>859</v>
      </c>
      <c r="N25" s="6" t="s">
        <v>870</v>
      </c>
      <c r="O25" s="19"/>
      <c r="P25" s="15">
        <f t="shared" si="1"/>
        <v>22052.162749027302</v>
      </c>
      <c r="Q25" s="15">
        <v>161499628.94699606</v>
      </c>
      <c r="R25" s="15">
        <v>183695476.21687588</v>
      </c>
      <c r="S25" s="15">
        <v>242568594.96503189</v>
      </c>
      <c r="T25" s="15">
        <v>245366480.2343567</v>
      </c>
      <c r="U25" s="15">
        <v>248165777.78260869</v>
      </c>
      <c r="V25" s="15">
        <v>238142071.72936699</v>
      </c>
      <c r="W25" s="15">
        <v>224213362.55667505</v>
      </c>
    </row>
    <row r="26" spans="1:23" x14ac:dyDescent="0.3">
      <c r="A26" s="6">
        <v>528</v>
      </c>
      <c r="B26" s="6" t="s">
        <v>29</v>
      </c>
      <c r="C26" s="6" t="s">
        <v>400</v>
      </c>
      <c r="D26" s="6" t="s">
        <v>29</v>
      </c>
      <c r="E26" s="6" t="s">
        <v>335</v>
      </c>
      <c r="F26" s="6"/>
      <c r="G26" s="6"/>
      <c r="H26" s="6">
        <v>0</v>
      </c>
      <c r="I26" s="6">
        <v>0</v>
      </c>
      <c r="J26" s="6">
        <v>0</v>
      </c>
      <c r="K26" s="6" t="s">
        <v>400</v>
      </c>
      <c r="L26" s="6" t="s">
        <v>400</v>
      </c>
      <c r="M26" s="6" t="s">
        <v>859</v>
      </c>
      <c r="N26" s="6" t="s">
        <v>870</v>
      </c>
      <c r="O26" s="19"/>
      <c r="P26" s="15">
        <f t="shared" si="1"/>
        <v>2546.4169552548392</v>
      </c>
      <c r="Q26" s="15">
        <v>13511709.166666666</v>
      </c>
      <c r="R26" s="15">
        <v>17309509.261367474</v>
      </c>
      <c r="S26" s="15">
        <v>22639951.249110319</v>
      </c>
      <c r="T26" s="15">
        <v>28538823.921275873</v>
      </c>
      <c r="U26" s="15">
        <v>30317219.045533355</v>
      </c>
      <c r="V26" s="15">
        <v>32311662.098885052</v>
      </c>
      <c r="W26" s="15">
        <v>33620312.125</v>
      </c>
    </row>
    <row r="27" spans="1:23" x14ac:dyDescent="0.3">
      <c r="A27" s="6">
        <v>529</v>
      </c>
      <c r="B27" s="6" t="s">
        <v>198</v>
      </c>
      <c r="C27" s="6" t="s">
        <v>401</v>
      </c>
      <c r="D27" s="7" t="s">
        <v>298</v>
      </c>
      <c r="E27" s="7" t="s">
        <v>336</v>
      </c>
      <c r="F27" s="7">
        <v>2023</v>
      </c>
      <c r="G27" s="7"/>
      <c r="H27" s="7">
        <v>0</v>
      </c>
      <c r="I27" s="7">
        <v>0</v>
      </c>
      <c r="J27" s="7">
        <v>0</v>
      </c>
      <c r="K27" s="7" t="s">
        <v>153</v>
      </c>
      <c r="L27" s="7" t="s">
        <v>153</v>
      </c>
      <c r="M27" s="6" t="s">
        <v>153</v>
      </c>
      <c r="N27" s="6" t="s">
        <v>870</v>
      </c>
      <c r="O27" s="19"/>
      <c r="P27" s="15">
        <f t="shared" si="1"/>
        <v>19.407900000000001</v>
      </c>
      <c r="Q27" s="15">
        <v>0</v>
      </c>
      <c r="R27" s="15">
        <v>0</v>
      </c>
      <c r="S27" s="15">
        <v>0</v>
      </c>
      <c r="T27" s="15">
        <v>0</v>
      </c>
      <c r="U27" s="15">
        <v>194966</v>
      </c>
      <c r="V27" s="15">
        <v>207337.5</v>
      </c>
      <c r="W27" s="15">
        <v>179933.5</v>
      </c>
    </row>
    <row r="28" spans="1:23" x14ac:dyDescent="0.3">
      <c r="A28" s="6">
        <v>531</v>
      </c>
      <c r="B28" s="6" t="s">
        <v>30</v>
      </c>
      <c r="C28" s="6" t="s">
        <v>402</v>
      </c>
      <c r="D28" s="6" t="s">
        <v>299</v>
      </c>
      <c r="E28" s="6" t="s">
        <v>337</v>
      </c>
      <c r="F28" s="6"/>
      <c r="G28" s="6"/>
      <c r="H28" s="6">
        <v>0</v>
      </c>
      <c r="I28" s="6">
        <v>0</v>
      </c>
      <c r="J28" s="6">
        <v>0</v>
      </c>
      <c r="K28" s="17" t="s">
        <v>851</v>
      </c>
      <c r="L28" s="17" t="s">
        <v>851</v>
      </c>
      <c r="M28" s="6" t="s">
        <v>859</v>
      </c>
      <c r="N28" s="6" t="s">
        <v>870</v>
      </c>
      <c r="O28" s="19"/>
      <c r="P28" s="15">
        <f t="shared" si="1"/>
        <v>5546.2261956509037</v>
      </c>
      <c r="Q28" s="15">
        <v>45444949.5</v>
      </c>
      <c r="R28" s="15">
        <v>35785887.814133018</v>
      </c>
      <c r="S28" s="15">
        <v>47517268.5</v>
      </c>
      <c r="T28" s="15">
        <v>51344414.786787361</v>
      </c>
      <c r="U28" s="15">
        <v>62439802.107142858</v>
      </c>
      <c r="V28" s="15">
        <v>71665096.799999997</v>
      </c>
      <c r="W28" s="15">
        <v>74038414.1875</v>
      </c>
    </row>
    <row r="29" spans="1:23" x14ac:dyDescent="0.3">
      <c r="A29" s="6">
        <v>534</v>
      </c>
      <c r="B29" s="6" t="s">
        <v>31</v>
      </c>
      <c r="C29" s="6" t="s">
        <v>403</v>
      </c>
      <c r="D29" s="6" t="s">
        <v>300</v>
      </c>
      <c r="E29" s="6" t="s">
        <v>338</v>
      </c>
      <c r="F29" s="6"/>
      <c r="G29" s="6"/>
      <c r="H29" s="6">
        <v>0</v>
      </c>
      <c r="I29" s="6">
        <v>0</v>
      </c>
      <c r="J29" s="6">
        <v>0</v>
      </c>
      <c r="K29" s="6" t="s">
        <v>403</v>
      </c>
      <c r="L29" t="s">
        <v>858</v>
      </c>
      <c r="M29" s="6" t="s">
        <v>859</v>
      </c>
      <c r="N29" s="6" t="s">
        <v>870</v>
      </c>
      <c r="O29" s="19"/>
      <c r="P29" s="15">
        <f t="shared" si="1"/>
        <v>179.94047142857144</v>
      </c>
      <c r="Q29" s="15">
        <v>1001127</v>
      </c>
      <c r="R29" s="15">
        <v>810391.5</v>
      </c>
      <c r="S29" s="15">
        <v>2029071.5</v>
      </c>
      <c r="T29" s="15">
        <v>2029963.5</v>
      </c>
      <c r="U29" s="15">
        <v>1879179</v>
      </c>
      <c r="V29" s="15">
        <v>2397243.5</v>
      </c>
      <c r="W29" s="15">
        <v>2448857</v>
      </c>
    </row>
    <row r="30" spans="1:23" x14ac:dyDescent="0.3">
      <c r="A30" s="6">
        <v>535</v>
      </c>
      <c r="B30" s="6" t="s">
        <v>32</v>
      </c>
      <c r="C30" s="6" t="s">
        <v>33</v>
      </c>
      <c r="D30" s="6" t="s">
        <v>301</v>
      </c>
      <c r="E30" s="6" t="s">
        <v>339</v>
      </c>
      <c r="F30" s="6"/>
      <c r="G30" s="6">
        <v>2021</v>
      </c>
      <c r="H30" s="6">
        <v>0</v>
      </c>
      <c r="I30" s="6">
        <v>0</v>
      </c>
      <c r="J30" s="6">
        <v>0</v>
      </c>
      <c r="K30" s="6" t="s">
        <v>33</v>
      </c>
      <c r="L30" s="7" t="s">
        <v>181</v>
      </c>
      <c r="M30" s="6" t="s">
        <v>841</v>
      </c>
      <c r="N30" s="6" t="s">
        <v>870</v>
      </c>
      <c r="O30" s="19"/>
      <c r="P30" s="15">
        <f t="shared" ref="P30:P64" si="2">IF(MAX(Q30:W30)&gt;0,AVERAGEIF(Q30:W30,"&gt;0"),0) / 10000</f>
        <v>0</v>
      </c>
      <c r="Q30" s="15"/>
      <c r="R30" s="15"/>
      <c r="S30" s="15"/>
      <c r="T30" s="15"/>
      <c r="U30" s="15"/>
      <c r="V30" s="15"/>
      <c r="W30" s="15"/>
    </row>
    <row r="31" spans="1:23" x14ac:dyDescent="0.3">
      <c r="A31" s="6">
        <v>536</v>
      </c>
      <c r="B31" s="6" t="s">
        <v>306</v>
      </c>
      <c r="C31" s="6" t="s">
        <v>404</v>
      </c>
      <c r="D31" s="6" t="s">
        <v>302</v>
      </c>
      <c r="E31" s="6" t="s">
        <v>340</v>
      </c>
      <c r="F31" s="6"/>
      <c r="G31" s="6"/>
      <c r="H31" s="6">
        <v>0</v>
      </c>
      <c r="I31" s="6">
        <v>0</v>
      </c>
      <c r="J31" s="6">
        <v>0</v>
      </c>
      <c r="K31" s="6" t="s">
        <v>847</v>
      </c>
      <c r="L31" s="6" t="s">
        <v>847</v>
      </c>
      <c r="M31" s="6" t="s">
        <v>877</v>
      </c>
      <c r="N31" s="6" t="s">
        <v>870</v>
      </c>
      <c r="O31" s="19"/>
      <c r="P31" s="15">
        <f t="shared" si="2"/>
        <v>773.72178146718147</v>
      </c>
      <c r="Q31" s="15">
        <v>6962343</v>
      </c>
      <c r="R31" s="15">
        <v>7005712</v>
      </c>
      <c r="S31" s="15">
        <v>7105597.5</v>
      </c>
      <c r="T31" s="15">
        <v>7565939.5</v>
      </c>
      <c r="U31" s="15">
        <v>7285386</v>
      </c>
      <c r="V31" s="15">
        <v>8447693.202702703</v>
      </c>
      <c r="W31" s="15">
        <v>9787853.5</v>
      </c>
    </row>
    <row r="32" spans="1:23" x14ac:dyDescent="0.3">
      <c r="A32" s="6">
        <v>537</v>
      </c>
      <c r="B32" s="6" t="s">
        <v>307</v>
      </c>
      <c r="C32" s="6" t="s">
        <v>405</v>
      </c>
      <c r="D32" s="6" t="s">
        <v>303</v>
      </c>
      <c r="E32" s="6" t="s">
        <v>341</v>
      </c>
      <c r="F32" s="6"/>
      <c r="G32" s="6"/>
      <c r="H32" s="6">
        <v>0</v>
      </c>
      <c r="I32" s="6">
        <v>0</v>
      </c>
      <c r="J32" s="6">
        <v>0</v>
      </c>
      <c r="K32" s="6" t="s">
        <v>34</v>
      </c>
      <c r="L32" s="6" t="s">
        <v>34</v>
      </c>
      <c r="M32" s="6" t="s">
        <v>877</v>
      </c>
      <c r="N32" s="6" t="s">
        <v>870</v>
      </c>
      <c r="O32" s="19"/>
      <c r="P32" s="15">
        <f t="shared" si="2"/>
        <v>2410.9543621883172</v>
      </c>
      <c r="Q32" s="15">
        <v>22139084.865831152</v>
      </c>
      <c r="R32" s="15">
        <v>23573226</v>
      </c>
      <c r="S32" s="15">
        <v>34282410.487351052</v>
      </c>
      <c r="T32" s="15">
        <v>25514183.5</v>
      </c>
      <c r="U32" s="15">
        <v>24104029</v>
      </c>
      <c r="V32" s="15">
        <v>22946782</v>
      </c>
      <c r="W32" s="15">
        <v>16207089.5</v>
      </c>
    </row>
    <row r="33" spans="1:23" x14ac:dyDescent="0.3">
      <c r="A33" s="6">
        <v>538</v>
      </c>
      <c r="B33" s="6" t="s">
        <v>308</v>
      </c>
      <c r="C33" s="6" t="s">
        <v>304</v>
      </c>
      <c r="D33" s="6" t="s">
        <v>304</v>
      </c>
      <c r="E33" s="6" t="s">
        <v>342</v>
      </c>
      <c r="F33" s="6"/>
      <c r="G33" s="6"/>
      <c r="H33" s="6">
        <v>0</v>
      </c>
      <c r="I33" s="6">
        <v>0</v>
      </c>
      <c r="J33" s="6">
        <v>0</v>
      </c>
      <c r="K33" s="6" t="s">
        <v>35</v>
      </c>
      <c r="L33" s="6" t="s">
        <v>35</v>
      </c>
      <c r="M33" s="6" t="s">
        <v>877</v>
      </c>
      <c r="N33" s="6" t="s">
        <v>870</v>
      </c>
      <c r="O33" s="19"/>
      <c r="P33" s="15">
        <f t="shared" si="2"/>
        <v>258.73302142857142</v>
      </c>
      <c r="Q33" s="15">
        <v>1133907</v>
      </c>
      <c r="R33" s="15">
        <v>1410710.5</v>
      </c>
      <c r="S33" s="15">
        <v>2996492.5</v>
      </c>
      <c r="T33" s="15">
        <v>3342959.5</v>
      </c>
      <c r="U33" s="15">
        <v>3191178.5</v>
      </c>
      <c r="V33" s="15">
        <v>2935714</v>
      </c>
      <c r="W33" s="15">
        <v>3100349.5</v>
      </c>
    </row>
    <row r="34" spans="1:23" x14ac:dyDescent="0.3">
      <c r="A34" s="6">
        <v>539</v>
      </c>
      <c r="B34" s="6" t="s">
        <v>36</v>
      </c>
      <c r="C34" s="6" t="s">
        <v>406</v>
      </c>
      <c r="D34" s="6" t="s">
        <v>305</v>
      </c>
      <c r="E34" s="6" t="s">
        <v>343</v>
      </c>
      <c r="F34" s="6"/>
      <c r="G34" s="6"/>
      <c r="H34" s="6">
        <v>0</v>
      </c>
      <c r="I34" s="6">
        <v>0</v>
      </c>
      <c r="J34" s="6">
        <v>0</v>
      </c>
      <c r="K34" s="6" t="s">
        <v>845</v>
      </c>
      <c r="L34" s="6" t="s">
        <v>845</v>
      </c>
      <c r="M34" t="s">
        <v>841</v>
      </c>
      <c r="N34" s="6" t="s">
        <v>870</v>
      </c>
      <c r="O34" s="19"/>
      <c r="P34" s="15">
        <f t="shared" si="2"/>
        <v>92.410907142857141</v>
      </c>
      <c r="Q34" s="15">
        <v>668733</v>
      </c>
      <c r="R34" s="15">
        <v>761513.5</v>
      </c>
      <c r="S34" s="15">
        <v>986881</v>
      </c>
      <c r="T34" s="15">
        <v>1241967</v>
      </c>
      <c r="U34" s="15">
        <v>1063240</v>
      </c>
      <c r="V34" s="15">
        <v>806158</v>
      </c>
      <c r="W34" s="15">
        <v>940271</v>
      </c>
    </row>
    <row r="35" spans="1:23" x14ac:dyDescent="0.3">
      <c r="A35" s="6">
        <v>540</v>
      </c>
      <c r="B35" s="6" t="s">
        <v>199</v>
      </c>
      <c r="C35" s="6" t="s">
        <v>200</v>
      </c>
      <c r="D35" s="7" t="s">
        <v>214</v>
      </c>
      <c r="E35" s="7" t="s">
        <v>344</v>
      </c>
      <c r="F35" s="7">
        <v>2023</v>
      </c>
      <c r="G35" s="7"/>
      <c r="H35" s="7">
        <v>0</v>
      </c>
      <c r="I35" s="7">
        <v>0</v>
      </c>
      <c r="J35" s="7">
        <v>0</v>
      </c>
      <c r="K35" s="6" t="s">
        <v>200</v>
      </c>
      <c r="L35" s="7" t="s">
        <v>200</v>
      </c>
      <c r="M35" s="6" t="s">
        <v>877</v>
      </c>
      <c r="N35" s="6" t="s">
        <v>870</v>
      </c>
      <c r="O35" s="19" t="s">
        <v>178</v>
      </c>
      <c r="P35" s="15">
        <f t="shared" si="2"/>
        <v>74.286514722222236</v>
      </c>
      <c r="Q35" s="15">
        <v>0</v>
      </c>
      <c r="R35" s="15">
        <v>0</v>
      </c>
      <c r="S35" s="15">
        <v>0</v>
      </c>
      <c r="T35" s="15">
        <v>0</v>
      </c>
      <c r="U35" s="15">
        <v>1111356.9416666669</v>
      </c>
      <c r="V35" s="15">
        <v>642912</v>
      </c>
      <c r="W35" s="15">
        <v>474326.5</v>
      </c>
    </row>
    <row r="36" spans="1:23" x14ac:dyDescent="0.3">
      <c r="A36" s="6">
        <v>541</v>
      </c>
      <c r="B36" s="6" t="s">
        <v>37</v>
      </c>
      <c r="C36" s="6" t="s">
        <v>38</v>
      </c>
      <c r="D36" s="6" t="s">
        <v>215</v>
      </c>
      <c r="E36" s="6" t="s">
        <v>345</v>
      </c>
      <c r="F36" s="6"/>
      <c r="G36" s="6"/>
      <c r="H36" s="6">
        <v>0</v>
      </c>
      <c r="I36" s="6">
        <v>0</v>
      </c>
      <c r="J36" s="6">
        <v>1</v>
      </c>
      <c r="K36" s="6" t="s">
        <v>38</v>
      </c>
      <c r="L36" s="7" t="s">
        <v>181</v>
      </c>
      <c r="M36" t="s">
        <v>841</v>
      </c>
      <c r="N36" s="6" t="s">
        <v>870</v>
      </c>
      <c r="O36" s="19"/>
      <c r="P36" s="15">
        <f t="shared" si="2"/>
        <v>339.94855714285711</v>
      </c>
      <c r="Q36" s="15">
        <v>2178598.5</v>
      </c>
      <c r="R36" s="15">
        <v>2195041.5</v>
      </c>
      <c r="S36" s="15">
        <v>3997038</v>
      </c>
      <c r="T36" s="15">
        <v>3953523</v>
      </c>
      <c r="U36" s="15">
        <v>3925726.5</v>
      </c>
      <c r="V36" s="15">
        <v>3857365</v>
      </c>
      <c r="W36" s="15">
        <v>3689106.5</v>
      </c>
    </row>
    <row r="37" spans="1:23" x14ac:dyDescent="0.3">
      <c r="A37" s="6">
        <v>542</v>
      </c>
      <c r="B37" s="6" t="s">
        <v>39</v>
      </c>
      <c r="C37" s="6" t="s">
        <v>216</v>
      </c>
      <c r="D37" s="6" t="s">
        <v>216</v>
      </c>
      <c r="E37" s="6" t="s">
        <v>346</v>
      </c>
      <c r="F37" s="6"/>
      <c r="G37" s="6">
        <v>2022</v>
      </c>
      <c r="H37" s="6">
        <v>0</v>
      </c>
      <c r="I37" s="6">
        <v>0</v>
      </c>
      <c r="J37" s="6">
        <v>0</v>
      </c>
      <c r="K37" s="6" t="s">
        <v>216</v>
      </c>
      <c r="L37" s="6" t="s">
        <v>216</v>
      </c>
      <c r="M37" s="6" t="s">
        <v>192</v>
      </c>
      <c r="N37" s="6" t="s">
        <v>870</v>
      </c>
      <c r="O37" s="19"/>
      <c r="P37" s="15">
        <f t="shared" si="2"/>
        <v>242.06027692307691</v>
      </c>
      <c r="Q37" s="15">
        <v>2165378.576923077</v>
      </c>
      <c r="R37" s="15">
        <v>1877163</v>
      </c>
      <c r="S37" s="15">
        <v>2827696.5</v>
      </c>
      <c r="T37" s="15">
        <v>2812173</v>
      </c>
      <c r="U37" s="15">
        <v>0</v>
      </c>
      <c r="V37" s="15">
        <v>0</v>
      </c>
      <c r="W37" s="15">
        <v>0</v>
      </c>
    </row>
    <row r="38" spans="1:23" x14ac:dyDescent="0.3">
      <c r="A38" s="6">
        <v>543</v>
      </c>
      <c r="B38" s="6" t="s">
        <v>41</v>
      </c>
      <c r="C38" s="6" t="s">
        <v>407</v>
      </c>
      <c r="D38" s="6" t="s">
        <v>217</v>
      </c>
      <c r="E38" s="6" t="s">
        <v>347</v>
      </c>
      <c r="F38" s="6"/>
      <c r="G38" s="6"/>
      <c r="H38" s="6">
        <v>0</v>
      </c>
      <c r="I38" s="6">
        <v>0</v>
      </c>
      <c r="J38" s="6">
        <v>0</v>
      </c>
      <c r="K38" s="6" t="s">
        <v>208</v>
      </c>
      <c r="L38" s="6" t="s">
        <v>184</v>
      </c>
      <c r="M38" s="6" t="s">
        <v>193</v>
      </c>
      <c r="N38" s="6" t="s">
        <v>870</v>
      </c>
      <c r="O38" s="20" t="s">
        <v>178</v>
      </c>
      <c r="P38" s="15">
        <f t="shared" si="2"/>
        <v>574.75540714285717</v>
      </c>
      <c r="Q38" s="15">
        <v>2919989</v>
      </c>
      <c r="R38" s="15">
        <v>4363180</v>
      </c>
      <c r="S38" s="15">
        <v>6240787.5</v>
      </c>
      <c r="T38" s="15">
        <v>5914610</v>
      </c>
      <c r="U38" s="15">
        <v>6921069.5</v>
      </c>
      <c r="V38" s="15">
        <v>7588923</v>
      </c>
      <c r="W38" s="15">
        <v>6284319.5</v>
      </c>
    </row>
    <row r="39" spans="1:23" x14ac:dyDescent="0.3">
      <c r="A39" s="6">
        <v>544</v>
      </c>
      <c r="B39" s="6" t="s">
        <v>42</v>
      </c>
      <c r="C39" s="6" t="s">
        <v>408</v>
      </c>
      <c r="D39" s="6" t="s">
        <v>218</v>
      </c>
      <c r="E39" s="6" t="s">
        <v>348</v>
      </c>
      <c r="F39" s="6"/>
      <c r="G39" s="6"/>
      <c r="H39" s="6">
        <v>0</v>
      </c>
      <c r="I39" s="6">
        <v>0</v>
      </c>
      <c r="J39" s="6">
        <v>0</v>
      </c>
      <c r="K39" s="6" t="s">
        <v>408</v>
      </c>
      <c r="L39" t="s">
        <v>858</v>
      </c>
      <c r="M39" s="6" t="s">
        <v>859</v>
      </c>
      <c r="N39" s="6" t="s">
        <v>870</v>
      </c>
      <c r="O39" s="19"/>
      <c r="P39" s="15">
        <f t="shared" si="2"/>
        <v>12.63735</v>
      </c>
      <c r="Q39" s="15">
        <v>129231.5</v>
      </c>
      <c r="R39" s="15">
        <v>168947.5</v>
      </c>
      <c r="S39" s="15">
        <v>159266.5</v>
      </c>
      <c r="T39" s="15">
        <v>177778</v>
      </c>
      <c r="U39" s="15">
        <v>121982.5</v>
      </c>
      <c r="V39" s="15">
        <v>56380.5</v>
      </c>
      <c r="W39" s="15">
        <v>71028</v>
      </c>
    </row>
    <row r="40" spans="1:23" x14ac:dyDescent="0.3">
      <c r="A40" s="6">
        <v>545</v>
      </c>
      <c r="B40" s="6" t="s">
        <v>43</v>
      </c>
      <c r="C40" s="6" t="s">
        <v>409</v>
      </c>
      <c r="D40" s="6" t="s">
        <v>219</v>
      </c>
      <c r="E40" s="6" t="s">
        <v>349</v>
      </c>
      <c r="F40" s="6"/>
      <c r="G40" s="6"/>
      <c r="H40" s="6">
        <v>0</v>
      </c>
      <c r="I40" s="6">
        <v>0</v>
      </c>
      <c r="J40" s="6">
        <v>1</v>
      </c>
      <c r="K40" s="6" t="s">
        <v>44</v>
      </c>
      <c r="L40" s="6" t="s">
        <v>44</v>
      </c>
      <c r="M40" s="6" t="s">
        <v>841</v>
      </c>
      <c r="N40" s="6" t="s">
        <v>870</v>
      </c>
      <c r="O40" s="19"/>
      <c r="P40" s="15">
        <f t="shared" si="2"/>
        <v>9330.8260365258666</v>
      </c>
      <c r="Q40" s="15">
        <v>61324142.576612897</v>
      </c>
      <c r="R40" s="15">
        <v>68058333</v>
      </c>
      <c r="S40" s="15">
        <v>101937757.92963576</v>
      </c>
      <c r="T40" s="15">
        <v>103528559.16666667</v>
      </c>
      <c r="U40" s="15">
        <v>101683883.23191281</v>
      </c>
      <c r="V40" s="15">
        <v>105273227.27143706</v>
      </c>
      <c r="W40" s="15">
        <v>111351919.38054533</v>
      </c>
    </row>
    <row r="41" spans="1:23" x14ac:dyDescent="0.3">
      <c r="A41" s="6">
        <v>546</v>
      </c>
      <c r="B41" s="6" t="s">
        <v>45</v>
      </c>
      <c r="C41" s="6" t="s">
        <v>410</v>
      </c>
      <c r="D41" s="6" t="s">
        <v>220</v>
      </c>
      <c r="E41" s="6" t="s">
        <v>350</v>
      </c>
      <c r="F41" s="6"/>
      <c r="G41" s="6"/>
      <c r="H41" s="6">
        <v>0</v>
      </c>
      <c r="I41" s="6">
        <v>0</v>
      </c>
      <c r="J41" s="6">
        <v>0</v>
      </c>
      <c r="K41" s="6" t="s">
        <v>44</v>
      </c>
      <c r="L41" s="6" t="s">
        <v>44</v>
      </c>
      <c r="M41" s="6" t="s">
        <v>841</v>
      </c>
      <c r="N41" s="6" t="s">
        <v>870</v>
      </c>
      <c r="O41" s="19"/>
      <c r="P41" s="15">
        <f t="shared" si="2"/>
        <v>1609.4797000793651</v>
      </c>
      <c r="Q41" s="15">
        <v>13283973.699999999</v>
      </c>
      <c r="R41" s="15">
        <v>13629141.75</v>
      </c>
      <c r="S41" s="15">
        <v>17069682</v>
      </c>
      <c r="T41" s="15">
        <v>17122846.25</v>
      </c>
      <c r="U41" s="15">
        <v>16609971</v>
      </c>
      <c r="V41" s="15">
        <v>17660333</v>
      </c>
      <c r="W41" s="15">
        <v>17287631.305555556</v>
      </c>
    </row>
    <row r="42" spans="1:23" x14ac:dyDescent="0.3">
      <c r="A42" s="6">
        <v>547</v>
      </c>
      <c r="B42" s="6" t="s">
        <v>46</v>
      </c>
      <c r="C42" s="6" t="s">
        <v>411</v>
      </c>
      <c r="D42" s="6" t="s">
        <v>221</v>
      </c>
      <c r="E42" s="6" t="s">
        <v>351</v>
      </c>
      <c r="F42" s="6"/>
      <c r="G42" s="6"/>
      <c r="H42" s="6">
        <v>0</v>
      </c>
      <c r="I42" s="6">
        <v>0</v>
      </c>
      <c r="J42" s="6">
        <v>1</v>
      </c>
      <c r="K42" s="6" t="s">
        <v>848</v>
      </c>
      <c r="L42" s="6" t="s">
        <v>848</v>
      </c>
      <c r="M42" s="6" t="s">
        <v>190</v>
      </c>
      <c r="N42" s="6" t="s">
        <v>870</v>
      </c>
      <c r="O42" s="19"/>
      <c r="P42" s="15">
        <f t="shared" si="2"/>
        <v>392.08204999999998</v>
      </c>
      <c r="Q42" s="15">
        <v>3659470.5</v>
      </c>
      <c r="R42" s="15">
        <v>3992621.5</v>
      </c>
      <c r="S42" s="15">
        <v>4216405.5</v>
      </c>
      <c r="T42" s="15">
        <v>3808552.5</v>
      </c>
      <c r="U42" s="15">
        <v>3334267</v>
      </c>
      <c r="V42" s="15">
        <v>3886928</v>
      </c>
      <c r="W42" s="15">
        <v>4547498.5</v>
      </c>
    </row>
    <row r="43" spans="1:23" x14ac:dyDescent="0.3">
      <c r="A43" s="6">
        <v>548</v>
      </c>
      <c r="B43" s="6" t="s">
        <v>47</v>
      </c>
      <c r="C43" s="6" t="s">
        <v>48</v>
      </c>
      <c r="D43" s="6" t="s">
        <v>222</v>
      </c>
      <c r="E43" s="6" t="s">
        <v>352</v>
      </c>
      <c r="F43" s="6"/>
      <c r="G43" s="6"/>
      <c r="H43" s="6">
        <v>0</v>
      </c>
      <c r="I43" s="6">
        <v>0</v>
      </c>
      <c r="J43" s="6">
        <v>0</v>
      </c>
      <c r="K43" s="6" t="s">
        <v>48</v>
      </c>
      <c r="L43" s="6" t="s">
        <v>44</v>
      </c>
      <c r="M43" s="6" t="s">
        <v>841</v>
      </c>
      <c r="N43" s="6" t="s">
        <v>870</v>
      </c>
      <c r="O43" s="19"/>
      <c r="P43" s="15">
        <f t="shared" si="2"/>
        <v>70.660502318396809</v>
      </c>
      <c r="Q43" s="15">
        <v>404834.5</v>
      </c>
      <c r="R43" s="15">
        <v>693166.5</v>
      </c>
      <c r="S43" s="15">
        <v>767675.16228777636</v>
      </c>
      <c r="T43" s="15">
        <v>820005</v>
      </c>
      <c r="U43" s="15">
        <v>658414</v>
      </c>
      <c r="V43" s="15">
        <v>724095</v>
      </c>
      <c r="W43" s="15">
        <v>878045</v>
      </c>
    </row>
    <row r="44" spans="1:23" x14ac:dyDescent="0.3">
      <c r="A44" s="6">
        <v>549</v>
      </c>
      <c r="B44" s="6" t="s">
        <v>40</v>
      </c>
      <c r="C44" s="6" t="s">
        <v>40</v>
      </c>
      <c r="D44" s="6" t="s">
        <v>223</v>
      </c>
      <c r="E44" s="6" t="s">
        <v>353</v>
      </c>
      <c r="F44" s="6"/>
      <c r="G44" s="6">
        <v>2022</v>
      </c>
      <c r="H44" s="6">
        <v>0</v>
      </c>
      <c r="I44" s="6">
        <v>0</v>
      </c>
      <c r="J44" s="6">
        <v>0</v>
      </c>
      <c r="K44" s="6" t="s">
        <v>40</v>
      </c>
      <c r="L44" s="6" t="s">
        <v>40</v>
      </c>
      <c r="M44" s="6" t="s">
        <v>192</v>
      </c>
      <c r="N44" s="6" t="s">
        <v>870</v>
      </c>
      <c r="O44" s="19"/>
      <c r="P44" s="15">
        <f t="shared" si="2"/>
        <v>271.00381249999998</v>
      </c>
      <c r="Q44" s="15">
        <v>2072187</v>
      </c>
      <c r="R44" s="15">
        <v>2810300</v>
      </c>
      <c r="S44" s="15">
        <v>3085100.5</v>
      </c>
      <c r="T44" s="15">
        <v>2872565</v>
      </c>
      <c r="U44" s="15">
        <v>0</v>
      </c>
      <c r="V44" s="15">
        <v>0</v>
      </c>
      <c r="W44" s="15">
        <v>0</v>
      </c>
    </row>
    <row r="45" spans="1:23" x14ac:dyDescent="0.3">
      <c r="A45" s="10">
        <v>550</v>
      </c>
      <c r="B45" s="10" t="s">
        <v>209</v>
      </c>
      <c r="C45" s="10" t="s">
        <v>412</v>
      </c>
      <c r="D45" s="11" t="s">
        <v>224</v>
      </c>
      <c r="E45" s="11" t="s">
        <v>354</v>
      </c>
      <c r="F45" s="11"/>
      <c r="G45" s="11"/>
      <c r="H45" s="11">
        <v>0</v>
      </c>
      <c r="I45" s="11">
        <v>0</v>
      </c>
      <c r="J45" s="11">
        <v>0</v>
      </c>
      <c r="K45" s="11"/>
      <c r="L45" s="11"/>
      <c r="M45" s="11"/>
      <c r="N45" s="10"/>
      <c r="O45" s="21" t="s">
        <v>178</v>
      </c>
      <c r="P45" s="15">
        <f t="shared" si="2"/>
        <v>0</v>
      </c>
      <c r="Q45" s="15"/>
      <c r="R45" s="15"/>
      <c r="S45" s="15"/>
      <c r="T45" s="15"/>
      <c r="U45" s="15"/>
      <c r="V45" s="15"/>
      <c r="W45" s="15"/>
    </row>
    <row r="46" spans="1:23" x14ac:dyDescent="0.3">
      <c r="A46" s="6">
        <v>551</v>
      </c>
      <c r="B46" s="6" t="s">
        <v>49</v>
      </c>
      <c r="C46" s="6" t="s">
        <v>50</v>
      </c>
      <c r="D46" s="6" t="s">
        <v>225</v>
      </c>
      <c r="E46" s="6" t="s">
        <v>355</v>
      </c>
      <c r="F46" s="6"/>
      <c r="G46" s="6"/>
      <c r="H46" s="6">
        <v>0</v>
      </c>
      <c r="I46" s="6">
        <v>0</v>
      </c>
      <c r="J46" s="6">
        <v>1</v>
      </c>
      <c r="K46" s="6" t="s">
        <v>863</v>
      </c>
      <c r="L46" s="6" t="s">
        <v>863</v>
      </c>
      <c r="M46" s="6" t="s">
        <v>841</v>
      </c>
      <c r="N46" s="6" t="s">
        <v>870</v>
      </c>
      <c r="O46" s="19"/>
      <c r="P46" s="15">
        <f t="shared" si="2"/>
        <v>438.60440391371503</v>
      </c>
      <c r="Q46" s="15">
        <v>2855506.2000470096</v>
      </c>
      <c r="R46" s="15">
        <v>3671356.6739130463</v>
      </c>
      <c r="S46" s="15">
        <v>5253328.6999999993</v>
      </c>
      <c r="T46" s="15">
        <v>5104448.6999999993</v>
      </c>
      <c r="U46" s="15">
        <v>4834498.5</v>
      </c>
      <c r="V46" s="15">
        <v>4601232.5</v>
      </c>
      <c r="W46" s="15">
        <v>4381937</v>
      </c>
    </row>
    <row r="47" spans="1:23" x14ac:dyDescent="0.3">
      <c r="A47" s="6">
        <v>552</v>
      </c>
      <c r="B47" s="6" t="s">
        <v>51</v>
      </c>
      <c r="C47" s="6" t="s">
        <v>413</v>
      </c>
      <c r="D47" s="6" t="s">
        <v>226</v>
      </c>
      <c r="E47" s="6" t="s">
        <v>356</v>
      </c>
      <c r="F47" s="6"/>
      <c r="G47" s="6"/>
      <c r="H47" s="6">
        <v>0</v>
      </c>
      <c r="I47" s="6">
        <v>0</v>
      </c>
      <c r="J47" s="6">
        <v>0</v>
      </c>
      <c r="K47" s="6" t="s">
        <v>181</v>
      </c>
      <c r="L47" s="6" t="s">
        <v>181</v>
      </c>
      <c r="M47" s="6" t="s">
        <v>841</v>
      </c>
      <c r="N47" s="6" t="s">
        <v>870</v>
      </c>
      <c r="O47" s="19"/>
      <c r="P47" s="15">
        <f t="shared" si="2"/>
        <v>1.8362357142857142</v>
      </c>
      <c r="Q47" s="15">
        <v>26715.5</v>
      </c>
      <c r="R47" s="15">
        <v>26741</v>
      </c>
      <c r="S47" s="15">
        <v>27429</v>
      </c>
      <c r="T47" s="15">
        <v>2390</v>
      </c>
      <c r="U47" s="15">
        <v>696</v>
      </c>
      <c r="V47" s="15">
        <v>444</v>
      </c>
      <c r="W47" s="15">
        <v>44121</v>
      </c>
    </row>
    <row r="48" spans="1:23" x14ac:dyDescent="0.3">
      <c r="A48" s="6">
        <v>553</v>
      </c>
      <c r="B48" s="6" t="s">
        <v>52</v>
      </c>
      <c r="C48" s="6" t="s">
        <v>53</v>
      </c>
      <c r="D48" s="6" t="s">
        <v>227</v>
      </c>
      <c r="E48" s="6" t="s">
        <v>357</v>
      </c>
      <c r="F48" s="6"/>
      <c r="G48" s="6"/>
      <c r="H48" s="6">
        <v>0</v>
      </c>
      <c r="I48" s="6">
        <v>0</v>
      </c>
      <c r="J48" s="6">
        <v>1</v>
      </c>
      <c r="K48" s="6" t="s">
        <v>849</v>
      </c>
      <c r="L48" s="6" t="s">
        <v>44</v>
      </c>
      <c r="M48" s="6" t="s">
        <v>841</v>
      </c>
      <c r="N48" s="6" t="s">
        <v>870</v>
      </c>
      <c r="O48" s="19"/>
      <c r="P48" s="15">
        <f t="shared" si="2"/>
        <v>127.8937642857143</v>
      </c>
      <c r="Q48" s="15">
        <v>693766.5</v>
      </c>
      <c r="R48" s="15">
        <v>961308.5</v>
      </c>
      <c r="S48" s="15">
        <v>1301989.5</v>
      </c>
      <c r="T48" s="15">
        <v>1363303</v>
      </c>
      <c r="U48" s="15">
        <v>1507160</v>
      </c>
      <c r="V48" s="15">
        <v>1544135.5</v>
      </c>
      <c r="W48" s="15">
        <v>1580900.5</v>
      </c>
    </row>
    <row r="49" spans="1:23" x14ac:dyDescent="0.3">
      <c r="A49" s="6">
        <v>554</v>
      </c>
      <c r="B49" s="6" t="s">
        <v>54</v>
      </c>
      <c r="C49" s="6" t="s">
        <v>414</v>
      </c>
      <c r="D49" s="6" t="s">
        <v>228</v>
      </c>
      <c r="E49" s="6" t="s">
        <v>358</v>
      </c>
      <c r="F49" s="6"/>
      <c r="G49" s="6"/>
      <c r="H49" s="6">
        <v>0</v>
      </c>
      <c r="I49" s="6">
        <v>0</v>
      </c>
      <c r="J49" s="6">
        <v>0</v>
      </c>
      <c r="K49" s="6" t="s">
        <v>850</v>
      </c>
      <c r="L49" s="6" t="s">
        <v>44</v>
      </c>
      <c r="M49" s="6" t="s">
        <v>841</v>
      </c>
      <c r="N49" s="6" t="s">
        <v>870</v>
      </c>
      <c r="O49" s="19"/>
      <c r="P49" s="15">
        <f t="shared" si="2"/>
        <v>279.37738714285717</v>
      </c>
      <c r="Q49" s="15">
        <v>2393553</v>
      </c>
      <c r="R49" s="15">
        <v>2552352.5</v>
      </c>
      <c r="S49" s="15">
        <v>2798333</v>
      </c>
      <c r="T49" s="15">
        <v>3016725.5999999992</v>
      </c>
      <c r="U49" s="15">
        <v>3012778</v>
      </c>
      <c r="V49" s="15">
        <v>2876241.5</v>
      </c>
      <c r="W49" s="15">
        <v>2906433.5</v>
      </c>
    </row>
    <row r="50" spans="1:23" x14ac:dyDescent="0.3">
      <c r="A50" s="6">
        <v>555</v>
      </c>
      <c r="B50" s="6" t="s">
        <v>55</v>
      </c>
      <c r="C50" s="6" t="s">
        <v>866</v>
      </c>
      <c r="D50" s="6" t="s">
        <v>229</v>
      </c>
      <c r="E50" s="6" t="s">
        <v>359</v>
      </c>
      <c r="F50" s="6"/>
      <c r="G50" s="6">
        <v>2022</v>
      </c>
      <c r="H50" s="6">
        <v>0</v>
      </c>
      <c r="I50" s="6">
        <v>1</v>
      </c>
      <c r="J50" s="6">
        <v>0</v>
      </c>
      <c r="K50" s="6" t="s">
        <v>58</v>
      </c>
      <c r="L50" s="6" t="s">
        <v>58</v>
      </c>
      <c r="M50" t="s">
        <v>865</v>
      </c>
      <c r="N50" s="6" t="s">
        <v>870</v>
      </c>
      <c r="O50" s="19"/>
      <c r="P50" s="15">
        <f t="shared" si="2"/>
        <v>390.91516493280773</v>
      </c>
      <c r="Q50" s="15">
        <v>3291508.5</v>
      </c>
      <c r="R50" s="15">
        <v>4059373.5973123093</v>
      </c>
      <c r="S50" s="15">
        <v>4032157</v>
      </c>
      <c r="T50" s="15">
        <v>4253567.5</v>
      </c>
      <c r="U50" s="15">
        <v>0</v>
      </c>
      <c r="V50" s="15">
        <v>0</v>
      </c>
      <c r="W50" s="15">
        <v>0</v>
      </c>
    </row>
    <row r="51" spans="1:23" x14ac:dyDescent="0.3">
      <c r="A51" s="6">
        <v>556</v>
      </c>
      <c r="B51" s="6" t="s">
        <v>57</v>
      </c>
      <c r="C51" s="6" t="s">
        <v>415</v>
      </c>
      <c r="D51" s="6" t="s">
        <v>230</v>
      </c>
      <c r="E51" s="6" t="s">
        <v>360</v>
      </c>
      <c r="F51" s="6"/>
      <c r="G51" s="6"/>
      <c r="H51" s="6">
        <v>0</v>
      </c>
      <c r="I51" s="6">
        <v>1</v>
      </c>
      <c r="J51" s="6">
        <v>0</v>
      </c>
      <c r="K51" s="6" t="s">
        <v>58</v>
      </c>
      <c r="L51" s="6" t="s">
        <v>58</v>
      </c>
      <c r="M51" t="s">
        <v>865</v>
      </c>
      <c r="N51" s="6" t="s">
        <v>870</v>
      </c>
      <c r="O51" s="19"/>
      <c r="P51" s="15">
        <f t="shared" si="2"/>
        <v>2702.1892226453219</v>
      </c>
      <c r="Q51" s="15">
        <v>21261150.169992622</v>
      </c>
      <c r="R51" s="15">
        <v>22575506.13981358</v>
      </c>
      <c r="S51" s="15">
        <v>22492943.27713792</v>
      </c>
      <c r="T51" s="15">
        <v>22241236.289915968</v>
      </c>
      <c r="U51" s="15">
        <v>24941135.349859856</v>
      </c>
      <c r="V51" s="15">
        <v>36916753.182875901</v>
      </c>
      <c r="W51" s="15">
        <v>38724521.175576672</v>
      </c>
    </row>
    <row r="52" spans="1:23" x14ac:dyDescent="0.3">
      <c r="A52" s="6">
        <v>557</v>
      </c>
      <c r="B52" s="6" t="s">
        <v>59</v>
      </c>
      <c r="C52" s="6" t="s">
        <v>416</v>
      </c>
      <c r="D52" s="6" t="s">
        <v>231</v>
      </c>
      <c r="E52" s="6" t="s">
        <v>361</v>
      </c>
      <c r="F52" s="6"/>
      <c r="G52" s="6"/>
      <c r="H52" s="6">
        <v>0</v>
      </c>
      <c r="I52" s="6">
        <v>1</v>
      </c>
      <c r="J52" s="6">
        <v>0</v>
      </c>
      <c r="K52" s="6" t="s">
        <v>58</v>
      </c>
      <c r="L52" s="6" t="s">
        <v>58</v>
      </c>
      <c r="M52" t="s">
        <v>865</v>
      </c>
      <c r="N52" s="6" t="s">
        <v>870</v>
      </c>
      <c r="O52" s="19"/>
      <c r="P52" s="15">
        <f t="shared" si="2"/>
        <v>784.63922767142788</v>
      </c>
      <c r="Q52" s="15">
        <v>5600613.5</v>
      </c>
      <c r="R52" s="15">
        <v>6094026.0576430503</v>
      </c>
      <c r="S52" s="15">
        <v>6239296.5</v>
      </c>
      <c r="T52" s="15">
        <v>5769611.5</v>
      </c>
      <c r="U52" s="15">
        <v>6852680</v>
      </c>
      <c r="V52" s="15">
        <v>12126869.411764704</v>
      </c>
      <c r="W52" s="15">
        <v>12241648.967592197</v>
      </c>
    </row>
    <row r="53" spans="1:23" x14ac:dyDescent="0.3">
      <c r="A53" s="6">
        <v>559</v>
      </c>
      <c r="B53" s="6" t="s">
        <v>60</v>
      </c>
      <c r="C53" s="6" t="s">
        <v>868</v>
      </c>
      <c r="D53" s="6" t="s">
        <v>232</v>
      </c>
      <c r="E53" s="6" t="s">
        <v>362</v>
      </c>
      <c r="F53" s="6"/>
      <c r="G53" s="6"/>
      <c r="H53" s="6">
        <v>0</v>
      </c>
      <c r="I53" s="6">
        <v>1</v>
      </c>
      <c r="J53" s="6">
        <v>0</v>
      </c>
      <c r="K53" s="6" t="s">
        <v>58</v>
      </c>
      <c r="L53" s="6" t="s">
        <v>58</v>
      </c>
      <c r="M53" t="s">
        <v>865</v>
      </c>
      <c r="N53" s="6" t="s">
        <v>870</v>
      </c>
      <c r="O53" s="19"/>
      <c r="P53" s="15">
        <f t="shared" si="2"/>
        <v>332.78777610358509</v>
      </c>
      <c r="Q53" s="15">
        <v>2174289</v>
      </c>
      <c r="R53" s="15">
        <v>2381391.2874999992</v>
      </c>
      <c r="S53" s="15">
        <v>2406443.5</v>
      </c>
      <c r="T53" s="15">
        <v>2485452.5</v>
      </c>
      <c r="U53" s="15">
        <v>3010426.5</v>
      </c>
      <c r="V53" s="15">
        <v>5246808.5397509532</v>
      </c>
      <c r="W53" s="15">
        <v>5590333</v>
      </c>
    </row>
    <row r="54" spans="1:23" x14ac:dyDescent="0.3">
      <c r="A54" s="6">
        <v>566</v>
      </c>
      <c r="B54" s="6" t="s">
        <v>62</v>
      </c>
      <c r="C54" s="6" t="s">
        <v>63</v>
      </c>
      <c r="D54" s="6" t="s">
        <v>233</v>
      </c>
      <c r="E54" s="6" t="s">
        <v>363</v>
      </c>
      <c r="F54" s="6"/>
      <c r="G54" s="6"/>
      <c r="H54" s="6">
        <v>0</v>
      </c>
      <c r="I54" s="6">
        <v>0</v>
      </c>
      <c r="J54" s="6">
        <v>0</v>
      </c>
      <c r="K54" s="6" t="s">
        <v>63</v>
      </c>
      <c r="L54" s="6" t="s">
        <v>181</v>
      </c>
      <c r="M54" s="6" t="s">
        <v>841</v>
      </c>
      <c r="N54" s="6" t="s">
        <v>870</v>
      </c>
      <c r="O54" s="19"/>
      <c r="P54" s="15">
        <f t="shared" si="2"/>
        <v>13.179071428571429</v>
      </c>
      <c r="Q54" s="15">
        <v>21383.5</v>
      </c>
      <c r="R54" s="15">
        <v>73098.5</v>
      </c>
      <c r="S54" s="15">
        <v>147784</v>
      </c>
      <c r="T54" s="15">
        <v>113938.5</v>
      </c>
      <c r="U54" s="15">
        <v>169677</v>
      </c>
      <c r="V54" s="15">
        <v>219675.5</v>
      </c>
      <c r="W54" s="15">
        <v>176978</v>
      </c>
    </row>
    <row r="55" spans="1:23" x14ac:dyDescent="0.3">
      <c r="A55" s="6">
        <v>567</v>
      </c>
      <c r="B55" s="6" t="s">
        <v>64</v>
      </c>
      <c r="C55" s="6" t="s">
        <v>417</v>
      </c>
      <c r="D55" s="6" t="s">
        <v>234</v>
      </c>
      <c r="E55" s="6" t="s">
        <v>364</v>
      </c>
      <c r="F55" s="6"/>
      <c r="G55" s="6"/>
      <c r="H55" s="6">
        <v>0</v>
      </c>
      <c r="I55" s="6">
        <v>0</v>
      </c>
      <c r="J55" s="6">
        <v>0</v>
      </c>
      <c r="K55" s="6" t="s">
        <v>417</v>
      </c>
      <c r="L55" t="s">
        <v>858</v>
      </c>
      <c r="M55" s="6" t="s">
        <v>859</v>
      </c>
      <c r="N55" s="6" t="s">
        <v>870</v>
      </c>
      <c r="O55" s="19"/>
      <c r="P55" s="15">
        <f t="shared" si="2"/>
        <v>2.4839571428571428</v>
      </c>
      <c r="Q55" s="15">
        <v>34863</v>
      </c>
      <c r="R55" s="15">
        <v>11696</v>
      </c>
      <c r="S55" s="15">
        <v>26069</v>
      </c>
      <c r="T55" s="15">
        <v>37335</v>
      </c>
      <c r="U55" s="15">
        <v>31925</v>
      </c>
      <c r="V55" s="15">
        <v>13652.5</v>
      </c>
      <c r="W55" s="15">
        <v>18336.5</v>
      </c>
    </row>
    <row r="56" spans="1:23" x14ac:dyDescent="0.3">
      <c r="A56" s="6">
        <v>568</v>
      </c>
      <c r="B56" s="6" t="s">
        <v>65</v>
      </c>
      <c r="C56" s="6" t="s">
        <v>148</v>
      </c>
      <c r="D56" s="6" t="s">
        <v>235</v>
      </c>
      <c r="E56" s="6" t="s">
        <v>365</v>
      </c>
      <c r="F56" s="6"/>
      <c r="G56" s="6"/>
      <c r="H56" s="6">
        <v>0</v>
      </c>
      <c r="I56" s="6">
        <v>0</v>
      </c>
      <c r="J56" s="6">
        <v>0</v>
      </c>
      <c r="K56" s="6" t="s">
        <v>148</v>
      </c>
      <c r="L56" s="7" t="s">
        <v>148</v>
      </c>
      <c r="M56" s="6" t="s">
        <v>877</v>
      </c>
      <c r="N56" s="6" t="s">
        <v>870</v>
      </c>
      <c r="O56" s="19"/>
      <c r="P56" s="15">
        <f t="shared" si="2"/>
        <v>137.26094528583272</v>
      </c>
      <c r="Q56" s="15">
        <v>1062471</v>
      </c>
      <c r="R56" s="15">
        <v>1159114</v>
      </c>
      <c r="S56" s="15">
        <v>1800794.6700082894</v>
      </c>
      <c r="T56" s="15">
        <v>1942677.5</v>
      </c>
      <c r="U56" s="15">
        <v>1441589</v>
      </c>
      <c r="V56" s="15">
        <v>1119828.5</v>
      </c>
      <c r="W56" s="15">
        <v>1081791.5</v>
      </c>
    </row>
    <row r="57" spans="1:23" x14ac:dyDescent="0.3">
      <c r="A57" s="6">
        <v>569</v>
      </c>
      <c r="B57" s="6" t="s">
        <v>309</v>
      </c>
      <c r="C57" s="6" t="s">
        <v>418</v>
      </c>
      <c r="D57" s="6" t="s">
        <v>236</v>
      </c>
      <c r="E57" s="6" t="s">
        <v>366</v>
      </c>
      <c r="F57" s="6"/>
      <c r="G57" s="6"/>
      <c r="H57" s="6">
        <v>0</v>
      </c>
      <c r="I57" s="6">
        <v>0</v>
      </c>
      <c r="J57" s="6">
        <v>0</v>
      </c>
      <c r="K57" s="7" t="s">
        <v>862</v>
      </c>
      <c r="L57" s="7" t="s">
        <v>862</v>
      </c>
      <c r="M57" s="7" t="s">
        <v>877</v>
      </c>
      <c r="N57" s="6" t="s">
        <v>870</v>
      </c>
      <c r="O57" s="19" t="s">
        <v>178</v>
      </c>
      <c r="P57" s="15">
        <f t="shared" si="2"/>
        <v>817.88447543620487</v>
      </c>
      <c r="Q57" s="15">
        <v>5617567</v>
      </c>
      <c r="R57" s="15">
        <v>6009199</v>
      </c>
      <c r="S57" s="15">
        <v>8424737</v>
      </c>
      <c r="T57" s="15">
        <v>8252929.2058823528</v>
      </c>
      <c r="U57" s="15">
        <v>9362648.0441176482</v>
      </c>
      <c r="V57" s="15">
        <v>9911357.0305343382</v>
      </c>
      <c r="W57" s="15">
        <v>9673476</v>
      </c>
    </row>
    <row r="58" spans="1:23" x14ac:dyDescent="0.3">
      <c r="A58" s="6">
        <v>570</v>
      </c>
      <c r="B58" s="6" t="s">
        <v>310</v>
      </c>
      <c r="C58" s="6" t="s">
        <v>419</v>
      </c>
      <c r="D58" s="8" t="s">
        <v>237</v>
      </c>
      <c r="E58" s="8" t="s">
        <v>367</v>
      </c>
      <c r="F58" s="8">
        <v>2023</v>
      </c>
      <c r="G58" s="8"/>
      <c r="H58" s="8">
        <v>0</v>
      </c>
      <c r="I58" s="8">
        <v>0</v>
      </c>
      <c r="J58" s="8">
        <v>0</v>
      </c>
      <c r="K58" s="7" t="s">
        <v>862</v>
      </c>
      <c r="L58" s="7" t="s">
        <v>862</v>
      </c>
      <c r="M58" s="7" t="s">
        <v>877</v>
      </c>
      <c r="N58" s="6" t="s">
        <v>870</v>
      </c>
      <c r="O58" s="19" t="s">
        <v>178</v>
      </c>
      <c r="P58" s="15">
        <f t="shared" si="2"/>
        <v>64.868166666666667</v>
      </c>
      <c r="Q58" s="15">
        <v>0</v>
      </c>
      <c r="R58" s="15">
        <v>0</v>
      </c>
      <c r="S58" s="15">
        <v>0</v>
      </c>
      <c r="T58" s="15">
        <v>0</v>
      </c>
      <c r="U58" s="15">
        <v>484769.5</v>
      </c>
      <c r="V58" s="15">
        <v>651211</v>
      </c>
      <c r="W58" s="15">
        <v>810064.5</v>
      </c>
    </row>
    <row r="59" spans="1:23" x14ac:dyDescent="0.3">
      <c r="A59" s="6">
        <v>572</v>
      </c>
      <c r="B59" s="6" t="s">
        <v>311</v>
      </c>
      <c r="C59" s="6" t="s">
        <v>867</v>
      </c>
      <c r="D59" s="6" t="s">
        <v>238</v>
      </c>
      <c r="E59" s="6" t="s">
        <v>368</v>
      </c>
      <c r="F59" s="6"/>
      <c r="G59" s="6"/>
      <c r="H59" s="6">
        <v>0</v>
      </c>
      <c r="I59" s="6">
        <v>0</v>
      </c>
      <c r="J59" s="6">
        <v>0</v>
      </c>
      <c r="K59" s="6" t="s">
        <v>58</v>
      </c>
      <c r="L59" s="6" t="s">
        <v>58</v>
      </c>
      <c r="M59" t="s">
        <v>865</v>
      </c>
      <c r="N59" s="6" t="s">
        <v>870</v>
      </c>
      <c r="O59" s="19"/>
      <c r="P59" s="15">
        <f t="shared" si="2"/>
        <v>259.18774399517821</v>
      </c>
      <c r="Q59" s="15">
        <v>1404241</v>
      </c>
      <c r="R59" s="15">
        <v>1710185.5</v>
      </c>
      <c r="S59" s="15">
        <v>2822749.1484545302</v>
      </c>
      <c r="T59" s="15">
        <v>2551820.2296846518</v>
      </c>
      <c r="U59" s="15">
        <v>2956339.683559218</v>
      </c>
      <c r="V59" s="15">
        <v>4159748.5</v>
      </c>
      <c r="W59" s="15">
        <v>2538058.0179640753</v>
      </c>
    </row>
    <row r="60" spans="1:23" x14ac:dyDescent="0.3">
      <c r="A60" s="6">
        <v>573</v>
      </c>
      <c r="B60" s="6" t="s">
        <v>66</v>
      </c>
      <c r="C60" s="6" t="s">
        <v>67</v>
      </c>
      <c r="D60" s="6" t="s">
        <v>239</v>
      </c>
      <c r="E60" s="6" t="s">
        <v>369</v>
      </c>
      <c r="F60" s="6"/>
      <c r="G60" s="6"/>
      <c r="H60" s="6">
        <v>0</v>
      </c>
      <c r="I60" s="6">
        <v>0</v>
      </c>
      <c r="J60" s="6">
        <v>0</v>
      </c>
      <c r="K60" s="6" t="s">
        <v>67</v>
      </c>
      <c r="L60" t="s">
        <v>858</v>
      </c>
      <c r="M60" s="6" t="s">
        <v>859</v>
      </c>
      <c r="N60" s="6" t="s">
        <v>870</v>
      </c>
      <c r="O60" s="19"/>
      <c r="P60" s="15">
        <f t="shared" si="2"/>
        <v>50.364582142857145</v>
      </c>
      <c r="Q60" s="15">
        <v>204170.5</v>
      </c>
      <c r="R60" s="15">
        <v>294070.5</v>
      </c>
      <c r="S60" s="15">
        <v>296949.5</v>
      </c>
      <c r="T60" s="15">
        <v>348735.5</v>
      </c>
      <c r="U60" s="15">
        <v>596433.5</v>
      </c>
      <c r="V60" s="15">
        <v>920947.75</v>
      </c>
      <c r="W60" s="15">
        <v>864213.5</v>
      </c>
    </row>
    <row r="61" spans="1:23" x14ac:dyDescent="0.3">
      <c r="A61" s="6">
        <v>574</v>
      </c>
      <c r="B61" s="6" t="s">
        <v>154</v>
      </c>
      <c r="C61" s="6" t="s">
        <v>154</v>
      </c>
      <c r="D61" s="9" t="s">
        <v>154</v>
      </c>
      <c r="E61" s="9" t="s">
        <v>154</v>
      </c>
      <c r="F61" s="9"/>
      <c r="G61" s="9"/>
      <c r="H61" s="9">
        <v>0</v>
      </c>
      <c r="I61" s="9">
        <v>0</v>
      </c>
      <c r="J61" s="9">
        <v>0</v>
      </c>
      <c r="K61" s="6" t="s">
        <v>154</v>
      </c>
      <c r="L61" s="6" t="s">
        <v>44</v>
      </c>
      <c r="M61" s="6" t="s">
        <v>841</v>
      </c>
      <c r="N61" s="6" t="s">
        <v>870</v>
      </c>
      <c r="O61" s="19"/>
      <c r="P61" s="15">
        <f t="shared" si="2"/>
        <v>23.678292857142857</v>
      </c>
      <c r="Q61" s="15">
        <v>272839.5</v>
      </c>
      <c r="R61" s="15">
        <v>92545.5</v>
      </c>
      <c r="S61" s="15">
        <v>374868.5</v>
      </c>
      <c r="T61" s="15">
        <v>408219.5</v>
      </c>
      <c r="U61" s="15">
        <v>256914</v>
      </c>
      <c r="V61" s="15">
        <v>125986</v>
      </c>
      <c r="W61" s="15">
        <v>126107.5</v>
      </c>
    </row>
    <row r="62" spans="1:23" x14ac:dyDescent="0.3">
      <c r="A62" s="6">
        <v>575</v>
      </c>
      <c r="B62" s="6" t="s">
        <v>155</v>
      </c>
      <c r="C62" s="6" t="s">
        <v>420</v>
      </c>
      <c r="D62" s="9" t="s">
        <v>240</v>
      </c>
      <c r="E62" s="9" t="s">
        <v>370</v>
      </c>
      <c r="F62" s="9">
        <v>2022</v>
      </c>
      <c r="G62" s="9"/>
      <c r="H62" s="9">
        <v>0</v>
      </c>
      <c r="I62" s="9">
        <v>0</v>
      </c>
      <c r="J62" s="9">
        <v>0</v>
      </c>
      <c r="K62" s="9" t="s">
        <v>33</v>
      </c>
      <c r="L62" s="6" t="s">
        <v>181</v>
      </c>
      <c r="M62" s="6" t="s">
        <v>841</v>
      </c>
      <c r="N62" s="6" t="s">
        <v>870</v>
      </c>
      <c r="O62" s="19"/>
      <c r="P62" s="15">
        <f t="shared" si="2"/>
        <v>42.318087499999997</v>
      </c>
      <c r="Q62" s="15">
        <v>0</v>
      </c>
      <c r="R62" s="15">
        <v>0</v>
      </c>
      <c r="S62" s="15">
        <v>0</v>
      </c>
      <c r="T62" s="15">
        <v>521913.5</v>
      </c>
      <c r="U62" s="15">
        <v>513874.5</v>
      </c>
      <c r="V62" s="15">
        <v>242114.5</v>
      </c>
      <c r="W62" s="15">
        <v>414821</v>
      </c>
    </row>
    <row r="63" spans="1:23" x14ac:dyDescent="0.3">
      <c r="A63" s="6">
        <v>576</v>
      </c>
      <c r="B63" s="6" t="s">
        <v>156</v>
      </c>
      <c r="C63" s="6" t="s">
        <v>421</v>
      </c>
      <c r="D63" s="9" t="s">
        <v>241</v>
      </c>
      <c r="E63" s="9" t="s">
        <v>371</v>
      </c>
      <c r="F63" s="9">
        <v>2022</v>
      </c>
      <c r="G63" s="9"/>
      <c r="H63" s="9">
        <v>0</v>
      </c>
      <c r="I63" s="9">
        <v>0</v>
      </c>
      <c r="J63" s="9">
        <v>0</v>
      </c>
      <c r="K63" s="9" t="s">
        <v>33</v>
      </c>
      <c r="L63" s="6" t="s">
        <v>181</v>
      </c>
      <c r="M63" s="6" t="s">
        <v>841</v>
      </c>
      <c r="N63" s="6" t="s">
        <v>870</v>
      </c>
      <c r="O63" s="19"/>
      <c r="P63" s="15">
        <f t="shared" si="2"/>
        <v>1.6148750000000001</v>
      </c>
      <c r="Q63" s="15">
        <v>0</v>
      </c>
      <c r="R63" s="15">
        <v>0</v>
      </c>
      <c r="S63" s="15">
        <v>0</v>
      </c>
      <c r="T63" s="15">
        <v>13395</v>
      </c>
      <c r="U63" s="15">
        <v>899.5</v>
      </c>
      <c r="V63" s="15">
        <v>22368</v>
      </c>
      <c r="W63" s="15">
        <v>27932.5</v>
      </c>
    </row>
    <row r="64" spans="1:23" x14ac:dyDescent="0.3">
      <c r="A64" s="6">
        <v>577</v>
      </c>
      <c r="B64" s="6" t="s">
        <v>157</v>
      </c>
      <c r="C64" s="6" t="s">
        <v>422</v>
      </c>
      <c r="D64" s="9" t="s">
        <v>242</v>
      </c>
      <c r="E64" s="9" t="s">
        <v>372</v>
      </c>
      <c r="F64" s="9">
        <v>2022</v>
      </c>
      <c r="G64" s="9"/>
      <c r="H64" s="9">
        <v>0</v>
      </c>
      <c r="I64" s="9">
        <v>0</v>
      </c>
      <c r="J64" s="9">
        <v>0</v>
      </c>
      <c r="K64" s="9" t="s">
        <v>33</v>
      </c>
      <c r="L64" s="6" t="s">
        <v>181</v>
      </c>
      <c r="M64" s="6" t="s">
        <v>841</v>
      </c>
      <c r="N64" s="6" t="s">
        <v>870</v>
      </c>
      <c r="O64" s="19"/>
      <c r="P64" s="15">
        <f t="shared" si="2"/>
        <v>18.403549999999999</v>
      </c>
      <c r="Q64" s="15">
        <v>0</v>
      </c>
      <c r="R64" s="15">
        <v>0</v>
      </c>
      <c r="S64" s="15">
        <v>0</v>
      </c>
      <c r="T64" s="15">
        <v>401140</v>
      </c>
      <c r="U64" s="15">
        <v>204223.5</v>
      </c>
      <c r="V64" s="15">
        <v>90681</v>
      </c>
      <c r="W64" s="15">
        <v>40097.5</v>
      </c>
    </row>
    <row r="65" spans="1:23" x14ac:dyDescent="0.3">
      <c r="A65" s="6">
        <v>578</v>
      </c>
      <c r="B65" s="6" t="s">
        <v>201</v>
      </c>
      <c r="C65" s="6" t="s">
        <v>423</v>
      </c>
      <c r="D65" s="6" t="s">
        <v>243</v>
      </c>
      <c r="E65" s="6" t="s">
        <v>373</v>
      </c>
      <c r="F65" s="6">
        <v>2023</v>
      </c>
      <c r="G65" s="6"/>
      <c r="H65" s="6">
        <v>0</v>
      </c>
      <c r="I65" s="6">
        <v>0</v>
      </c>
      <c r="J65" s="6">
        <v>0</v>
      </c>
      <c r="K65" s="6" t="s">
        <v>216</v>
      </c>
      <c r="L65" s="6" t="s">
        <v>216</v>
      </c>
      <c r="M65" s="6" t="s">
        <v>192</v>
      </c>
      <c r="N65" s="6" t="s">
        <v>870</v>
      </c>
      <c r="O65" s="20"/>
      <c r="P65" s="15">
        <f t="shared" ref="P65:P86" si="3">IF(MAX(Q65:W65)&gt;0,AVERAGEIF(Q65:W65,"&gt;0"),0) / 10000</f>
        <v>265.81365720083738</v>
      </c>
      <c r="Q65" s="15">
        <v>0</v>
      </c>
      <c r="R65" s="15">
        <v>0</v>
      </c>
      <c r="S65" s="15">
        <v>0</v>
      </c>
      <c r="T65" s="15">
        <v>0</v>
      </c>
      <c r="U65" s="15">
        <v>3740008.716025122</v>
      </c>
      <c r="V65" s="15">
        <v>2894222</v>
      </c>
      <c r="W65" s="15">
        <v>1340179</v>
      </c>
    </row>
    <row r="66" spans="1:23" x14ac:dyDescent="0.3">
      <c r="A66" s="6">
        <v>579</v>
      </c>
      <c r="B66" s="6" t="s">
        <v>202</v>
      </c>
      <c r="C66" s="6" t="s">
        <v>424</v>
      </c>
      <c r="D66" s="6" t="s">
        <v>244</v>
      </c>
      <c r="E66" s="6" t="s">
        <v>374</v>
      </c>
      <c r="F66" s="6">
        <v>2023</v>
      </c>
      <c r="G66" s="6"/>
      <c r="H66" s="6">
        <v>0</v>
      </c>
      <c r="I66" s="6">
        <v>0</v>
      </c>
      <c r="J66" s="6">
        <v>0</v>
      </c>
      <c r="K66" s="6" t="s">
        <v>216</v>
      </c>
      <c r="L66" s="6" t="s">
        <v>216</v>
      </c>
      <c r="M66" s="6" t="s">
        <v>192</v>
      </c>
      <c r="N66" s="6" t="s">
        <v>870</v>
      </c>
      <c r="O66" s="19"/>
      <c r="P66" s="15">
        <f t="shared" si="3"/>
        <v>9.9090666666666678</v>
      </c>
      <c r="Q66" s="15">
        <v>0</v>
      </c>
      <c r="R66" s="15">
        <v>0</v>
      </c>
      <c r="S66" s="15">
        <v>0</v>
      </c>
      <c r="T66" s="15">
        <v>0</v>
      </c>
      <c r="U66" s="15">
        <v>139515</v>
      </c>
      <c r="V66" s="15">
        <v>57913</v>
      </c>
      <c r="W66" s="15">
        <v>99844</v>
      </c>
    </row>
    <row r="67" spans="1:23" x14ac:dyDescent="0.3">
      <c r="A67" s="6">
        <v>580</v>
      </c>
      <c r="B67" s="6" t="s">
        <v>203</v>
      </c>
      <c r="C67" s="6" t="s">
        <v>425</v>
      </c>
      <c r="D67" s="6" t="s">
        <v>245</v>
      </c>
      <c r="E67" s="6" t="s">
        <v>375</v>
      </c>
      <c r="F67" s="6">
        <v>2023</v>
      </c>
      <c r="G67" s="6"/>
      <c r="H67" s="6">
        <v>0</v>
      </c>
      <c r="I67" s="6">
        <v>0</v>
      </c>
      <c r="J67" s="6">
        <v>0</v>
      </c>
      <c r="K67" s="6" t="s">
        <v>40</v>
      </c>
      <c r="L67" s="6" t="s">
        <v>40</v>
      </c>
      <c r="M67" s="6" t="s">
        <v>192</v>
      </c>
      <c r="N67" s="6" t="s">
        <v>870</v>
      </c>
      <c r="O67" s="19"/>
      <c r="P67" s="15">
        <f t="shared" si="3"/>
        <v>28.63955</v>
      </c>
      <c r="Q67" s="15">
        <v>0</v>
      </c>
      <c r="R67" s="15">
        <v>0</v>
      </c>
      <c r="S67" s="15">
        <v>0</v>
      </c>
      <c r="T67" s="15">
        <v>0</v>
      </c>
      <c r="U67" s="15">
        <v>300378</v>
      </c>
      <c r="V67" s="15">
        <v>418324.5</v>
      </c>
      <c r="W67" s="15">
        <v>140484</v>
      </c>
    </row>
    <row r="68" spans="1:23" x14ac:dyDescent="0.3">
      <c r="A68" s="6">
        <v>581</v>
      </c>
      <c r="B68" s="6" t="s">
        <v>204</v>
      </c>
      <c r="C68" s="6" t="s">
        <v>426</v>
      </c>
      <c r="D68" s="6" t="s">
        <v>246</v>
      </c>
      <c r="E68" s="6" t="s">
        <v>376</v>
      </c>
      <c r="F68" s="6">
        <v>2023</v>
      </c>
      <c r="G68" s="6"/>
      <c r="H68" s="6">
        <v>0</v>
      </c>
      <c r="I68" s="6">
        <v>0</v>
      </c>
      <c r="J68" s="6">
        <v>0</v>
      </c>
      <c r="K68" s="6" t="s">
        <v>40</v>
      </c>
      <c r="L68" s="6" t="s">
        <v>40</v>
      </c>
      <c r="M68" s="6" t="s">
        <v>192</v>
      </c>
      <c r="N68" s="6" t="s">
        <v>870</v>
      </c>
      <c r="O68" s="19"/>
      <c r="P68" s="15">
        <f t="shared" si="3"/>
        <v>338.12133333333333</v>
      </c>
      <c r="Q68" s="15">
        <v>0</v>
      </c>
      <c r="R68" s="15">
        <v>0</v>
      </c>
      <c r="S68" s="15">
        <v>0</v>
      </c>
      <c r="T68" s="15">
        <v>0</v>
      </c>
      <c r="U68" s="15">
        <v>3566916.5</v>
      </c>
      <c r="V68" s="15">
        <v>4005806.5</v>
      </c>
      <c r="W68" s="15">
        <v>2570917</v>
      </c>
    </row>
    <row r="69" spans="1:23" x14ac:dyDescent="0.3">
      <c r="A69" s="10">
        <v>590</v>
      </c>
      <c r="B69" s="10" t="s">
        <v>213</v>
      </c>
      <c r="C69" s="10" t="s">
        <v>427</v>
      </c>
      <c r="D69" s="11" t="s">
        <v>247</v>
      </c>
      <c r="E69" s="11" t="s">
        <v>377</v>
      </c>
      <c r="F69" s="11"/>
      <c r="G69" s="11"/>
      <c r="H69" s="11">
        <v>0</v>
      </c>
      <c r="I69" s="11">
        <v>0</v>
      </c>
      <c r="J69" s="11">
        <v>0</v>
      </c>
      <c r="K69" s="11" t="s">
        <v>843</v>
      </c>
      <c r="L69" s="11" t="s">
        <v>186</v>
      </c>
      <c r="M69" s="6" t="s">
        <v>859</v>
      </c>
      <c r="N69" s="6" t="s">
        <v>870</v>
      </c>
      <c r="O69" s="21"/>
      <c r="P69" s="15">
        <f t="shared" si="3"/>
        <v>2.4104874999999999</v>
      </c>
      <c r="Q69" s="15">
        <v>66186.5</v>
      </c>
      <c r="R69" s="15">
        <v>3069.5</v>
      </c>
      <c r="S69" s="15">
        <v>19480.5</v>
      </c>
      <c r="T69" s="15">
        <v>0</v>
      </c>
      <c r="U69" s="15">
        <v>7683</v>
      </c>
      <c r="V69" s="15">
        <v>0</v>
      </c>
      <c r="W69" s="15">
        <v>0</v>
      </c>
    </row>
    <row r="70" spans="1:23" x14ac:dyDescent="0.3">
      <c r="A70" s="6">
        <v>591</v>
      </c>
      <c r="B70" s="6" t="s">
        <v>68</v>
      </c>
      <c r="C70" s="6" t="s">
        <v>428</v>
      </c>
      <c r="D70" s="6" t="s">
        <v>248</v>
      </c>
      <c r="E70" s="6" t="s">
        <v>378</v>
      </c>
      <c r="F70" s="6"/>
      <c r="G70" s="6"/>
      <c r="H70" s="6">
        <v>0</v>
      </c>
      <c r="I70" s="6">
        <v>0</v>
      </c>
      <c r="J70" s="6">
        <v>0</v>
      </c>
      <c r="K70" s="17" t="s">
        <v>145</v>
      </c>
      <c r="L70" s="7" t="s">
        <v>186</v>
      </c>
      <c r="M70" s="6" t="s">
        <v>859</v>
      </c>
      <c r="N70" s="6" t="s">
        <v>870</v>
      </c>
      <c r="O70" s="19"/>
      <c r="P70" s="15">
        <f t="shared" si="3"/>
        <v>105.79987142857144</v>
      </c>
      <c r="Q70" s="15">
        <v>505581</v>
      </c>
      <c r="R70" s="15">
        <v>975718.5</v>
      </c>
      <c r="S70" s="15">
        <v>1474237.5</v>
      </c>
      <c r="T70" s="15">
        <v>1517718.5</v>
      </c>
      <c r="U70" s="15">
        <v>1141291.5</v>
      </c>
      <c r="V70" s="15">
        <v>843467.5</v>
      </c>
      <c r="W70" s="15">
        <v>947976.5</v>
      </c>
    </row>
    <row r="71" spans="1:23" x14ac:dyDescent="0.3">
      <c r="A71" s="6">
        <v>592</v>
      </c>
      <c r="B71" s="6" t="s">
        <v>69</v>
      </c>
      <c r="C71" s="6" t="s">
        <v>429</v>
      </c>
      <c r="D71" s="6" t="s">
        <v>249</v>
      </c>
      <c r="E71" s="6" t="s">
        <v>379</v>
      </c>
      <c r="F71" s="6"/>
      <c r="G71" s="6"/>
      <c r="H71" s="6">
        <v>0</v>
      </c>
      <c r="I71" s="6">
        <v>0</v>
      </c>
      <c r="J71" s="6">
        <v>0</v>
      </c>
      <c r="K71" s="17" t="s">
        <v>851</v>
      </c>
      <c r="L71" s="17" t="s">
        <v>851</v>
      </c>
      <c r="M71" s="6" t="s">
        <v>859</v>
      </c>
      <c r="N71" s="6" t="s">
        <v>870</v>
      </c>
      <c r="O71" s="19"/>
      <c r="P71" s="15">
        <f t="shared" si="3"/>
        <v>31.498671428571427</v>
      </c>
      <c r="Q71" s="15">
        <v>381388</v>
      </c>
      <c r="R71" s="15">
        <v>269834</v>
      </c>
      <c r="S71" s="15">
        <v>227348.5</v>
      </c>
      <c r="T71" s="15">
        <v>422133.5</v>
      </c>
      <c r="U71" s="15">
        <v>312343.5</v>
      </c>
      <c r="V71" s="15">
        <v>254325.5</v>
      </c>
      <c r="W71" s="15">
        <v>337534</v>
      </c>
    </row>
    <row r="72" spans="1:23" x14ac:dyDescent="0.3">
      <c r="A72" s="6">
        <v>594</v>
      </c>
      <c r="B72" s="6" t="s">
        <v>70</v>
      </c>
      <c r="C72" s="6" t="s">
        <v>430</v>
      </c>
      <c r="D72" s="6" t="s">
        <v>250</v>
      </c>
      <c r="E72" s="6" t="s">
        <v>380</v>
      </c>
      <c r="F72" s="6"/>
      <c r="G72" s="6"/>
      <c r="H72" s="6">
        <v>0</v>
      </c>
      <c r="I72" s="6">
        <v>1</v>
      </c>
      <c r="J72" s="6">
        <v>0</v>
      </c>
      <c r="K72" s="7" t="s">
        <v>58</v>
      </c>
      <c r="L72" s="7" t="s">
        <v>58</v>
      </c>
      <c r="M72" t="s">
        <v>865</v>
      </c>
      <c r="N72" s="6" t="s">
        <v>870</v>
      </c>
      <c r="O72" s="19"/>
      <c r="P72" s="15">
        <f t="shared" si="3"/>
        <v>22.34327857142857</v>
      </c>
      <c r="Q72" s="15">
        <v>277599</v>
      </c>
      <c r="R72" s="15">
        <v>297361.5</v>
      </c>
      <c r="S72" s="15">
        <v>219335.5</v>
      </c>
      <c r="T72" s="15">
        <v>189827</v>
      </c>
      <c r="U72" s="15">
        <v>151117.5</v>
      </c>
      <c r="V72" s="15">
        <v>225245</v>
      </c>
      <c r="W72" s="15">
        <v>203544</v>
      </c>
    </row>
    <row r="73" spans="1:23" x14ac:dyDescent="0.3">
      <c r="A73" s="9">
        <v>595</v>
      </c>
      <c r="B73" s="9" t="s">
        <v>158</v>
      </c>
      <c r="C73" s="9" t="s">
        <v>74</v>
      </c>
      <c r="D73" s="9" t="s">
        <v>251</v>
      </c>
      <c r="E73" s="9" t="s">
        <v>381</v>
      </c>
      <c r="F73" s="9"/>
      <c r="G73" s="9"/>
      <c r="H73" s="9">
        <v>0</v>
      </c>
      <c r="I73" s="9">
        <v>1</v>
      </c>
      <c r="J73" s="9">
        <v>0</v>
      </c>
      <c r="K73" s="7" t="s">
        <v>58</v>
      </c>
      <c r="L73" s="7" t="s">
        <v>58</v>
      </c>
      <c r="M73" t="s">
        <v>865</v>
      </c>
      <c r="N73" s="6" t="s">
        <v>870</v>
      </c>
      <c r="O73" s="19"/>
      <c r="P73" s="15">
        <f t="shared" si="3"/>
        <v>68.491832796780685</v>
      </c>
      <c r="Q73" s="15">
        <v>38798</v>
      </c>
      <c r="R73" s="15">
        <v>22964</v>
      </c>
      <c r="S73" s="15">
        <v>11353</v>
      </c>
      <c r="T73" s="15">
        <v>11353</v>
      </c>
      <c r="U73" s="15">
        <v>1460454.5</v>
      </c>
      <c r="V73" s="15">
        <v>1839503.5</v>
      </c>
      <c r="W73" s="15">
        <v>1410002.295774648</v>
      </c>
    </row>
    <row r="74" spans="1:23" x14ac:dyDescent="0.3">
      <c r="A74" s="6">
        <v>597</v>
      </c>
      <c r="B74" s="6" t="s">
        <v>71</v>
      </c>
      <c r="C74" s="6" t="s">
        <v>72</v>
      </c>
      <c r="D74" s="6" t="s">
        <v>252</v>
      </c>
      <c r="E74" s="6" t="s">
        <v>382</v>
      </c>
      <c r="F74" s="6"/>
      <c r="G74" s="6"/>
      <c r="H74" s="6">
        <v>0</v>
      </c>
      <c r="I74" s="6">
        <v>0</v>
      </c>
      <c r="J74" s="6">
        <v>0</v>
      </c>
      <c r="K74" s="7" t="s">
        <v>58</v>
      </c>
      <c r="L74" s="7" t="s">
        <v>58</v>
      </c>
      <c r="M74" t="s">
        <v>865</v>
      </c>
      <c r="N74" s="6" t="s">
        <v>870</v>
      </c>
      <c r="O74" s="19"/>
      <c r="P74" s="15">
        <f t="shared" si="3"/>
        <v>338.16061480616185</v>
      </c>
      <c r="Q74" s="15">
        <v>1874829.276904247</v>
      </c>
      <c r="R74" s="15">
        <v>2170050.1452054791</v>
      </c>
      <c r="S74" s="15">
        <v>3412122</v>
      </c>
      <c r="T74" s="15">
        <v>4133809</v>
      </c>
      <c r="U74" s="15">
        <v>4277571</v>
      </c>
      <c r="V74" s="15">
        <v>4149512.5</v>
      </c>
      <c r="W74" s="15">
        <v>3653349.1143216006</v>
      </c>
    </row>
    <row r="75" spans="1:23" x14ac:dyDescent="0.3">
      <c r="A75" s="6">
        <v>598</v>
      </c>
      <c r="B75" s="6" t="s">
        <v>73</v>
      </c>
      <c r="C75" s="6" t="s">
        <v>74</v>
      </c>
      <c r="D75" s="6" t="s">
        <v>253</v>
      </c>
      <c r="E75" s="6" t="s">
        <v>383</v>
      </c>
      <c r="F75" s="6"/>
      <c r="G75" s="6"/>
      <c r="H75" s="6">
        <v>0</v>
      </c>
      <c r="I75" s="6">
        <v>0</v>
      </c>
      <c r="J75" s="6">
        <v>0</v>
      </c>
      <c r="K75" s="7" t="s">
        <v>58</v>
      </c>
      <c r="L75" s="7" t="s">
        <v>58</v>
      </c>
      <c r="M75" t="s">
        <v>865</v>
      </c>
      <c r="N75" s="6" t="s">
        <v>870</v>
      </c>
      <c r="O75" s="19"/>
      <c r="P75" s="15">
        <f t="shared" si="3"/>
        <v>229.68000773748844</v>
      </c>
      <c r="Q75" s="15">
        <v>2209944.0045871539</v>
      </c>
      <c r="R75" s="15">
        <v>2009910</v>
      </c>
      <c r="S75" s="15">
        <v>2312249.5185185196</v>
      </c>
      <c r="T75" s="15">
        <v>2733853.0185185196</v>
      </c>
      <c r="U75" s="15">
        <v>2353009.5</v>
      </c>
      <c r="V75" s="15">
        <v>2388173.5</v>
      </c>
      <c r="W75" s="15">
        <v>2070461</v>
      </c>
    </row>
    <row r="76" spans="1:23" x14ac:dyDescent="0.3">
      <c r="A76" s="6">
        <v>601</v>
      </c>
      <c r="B76" s="6" t="s">
        <v>75</v>
      </c>
      <c r="C76" s="6" t="s">
        <v>455</v>
      </c>
      <c r="D76" s="6" t="s">
        <v>254</v>
      </c>
      <c r="E76" s="6" t="s">
        <v>435</v>
      </c>
      <c r="F76" s="6"/>
      <c r="G76" s="6"/>
      <c r="H76" s="6">
        <v>0</v>
      </c>
      <c r="I76" s="6">
        <v>0</v>
      </c>
      <c r="J76" s="6">
        <v>0</v>
      </c>
      <c r="K76" s="17" t="s">
        <v>185</v>
      </c>
      <c r="L76" s="7" t="s">
        <v>185</v>
      </c>
      <c r="M76" t="s">
        <v>865</v>
      </c>
      <c r="N76" s="6" t="s">
        <v>870</v>
      </c>
      <c r="O76" s="19"/>
      <c r="P76" s="15">
        <f t="shared" si="3"/>
        <v>104713.85183571752</v>
      </c>
      <c r="Q76" s="15">
        <v>624837125.25544119</v>
      </c>
      <c r="R76" s="15">
        <v>731496654.41479337</v>
      </c>
      <c r="S76" s="15">
        <v>1179090450.4842162</v>
      </c>
      <c r="T76" s="15">
        <v>1189273712.7355194</v>
      </c>
      <c r="U76" s="15">
        <v>1199467311.5582511</v>
      </c>
      <c r="V76" s="15">
        <v>1210754963.1625648</v>
      </c>
      <c r="W76" s="15">
        <v>1195049410.8894408</v>
      </c>
    </row>
    <row r="77" spans="1:23" x14ac:dyDescent="0.3">
      <c r="A77" s="6">
        <v>602</v>
      </c>
      <c r="B77" s="6" t="s">
        <v>76</v>
      </c>
      <c r="C77" s="6" t="s">
        <v>456</v>
      </c>
      <c r="D77" s="6" t="s">
        <v>255</v>
      </c>
      <c r="E77" s="6" t="s">
        <v>436</v>
      </c>
      <c r="F77" s="6"/>
      <c r="G77" s="6"/>
      <c r="H77" s="6">
        <v>0</v>
      </c>
      <c r="I77" s="6">
        <v>0</v>
      </c>
      <c r="J77" s="6">
        <v>0</v>
      </c>
      <c r="K77" s="17" t="s">
        <v>185</v>
      </c>
      <c r="L77" s="7" t="s">
        <v>185</v>
      </c>
      <c r="M77" t="s">
        <v>865</v>
      </c>
      <c r="N77" s="6" t="s">
        <v>870</v>
      </c>
      <c r="O77" s="19"/>
      <c r="P77" s="15">
        <f t="shared" si="3"/>
        <v>540.25064411424466</v>
      </c>
      <c r="Q77" s="15">
        <v>2822784.4445141042</v>
      </c>
      <c r="R77" s="15">
        <v>3487353.2272727271</v>
      </c>
      <c r="S77" s="15">
        <v>5662758.6040525734</v>
      </c>
      <c r="T77" s="15">
        <v>6384778.1040525734</v>
      </c>
      <c r="U77" s="15">
        <v>6346099.6040525734</v>
      </c>
      <c r="V77" s="15">
        <v>6620047.6040525734</v>
      </c>
      <c r="W77" s="15">
        <v>6493723.5</v>
      </c>
    </row>
    <row r="78" spans="1:23" x14ac:dyDescent="0.3">
      <c r="A78" s="6">
        <v>611</v>
      </c>
      <c r="B78" s="6" t="s">
        <v>77</v>
      </c>
      <c r="C78" s="6" t="s">
        <v>457</v>
      </c>
      <c r="D78" s="6" t="s">
        <v>256</v>
      </c>
      <c r="E78" s="6" t="s">
        <v>437</v>
      </c>
      <c r="F78" s="6"/>
      <c r="G78" s="6"/>
      <c r="H78" s="6">
        <v>0</v>
      </c>
      <c r="I78" s="6">
        <v>1</v>
      </c>
      <c r="J78" s="6">
        <v>0</v>
      </c>
      <c r="K78" s="7" t="s">
        <v>175</v>
      </c>
      <c r="L78" s="7" t="s">
        <v>175</v>
      </c>
      <c r="M78" s="7" t="s">
        <v>61</v>
      </c>
      <c r="N78" s="6" t="s">
        <v>56</v>
      </c>
      <c r="O78" s="19"/>
      <c r="P78" s="15">
        <f t="shared" si="3"/>
        <v>84051.032464535136</v>
      </c>
      <c r="Q78" s="15">
        <v>655822930.19976246</v>
      </c>
      <c r="R78" s="15">
        <v>854885679.81064439</v>
      </c>
      <c r="S78" s="15">
        <v>884869266.62883437</v>
      </c>
      <c r="T78" s="15">
        <v>877144267.88465178</v>
      </c>
      <c r="U78" s="15">
        <v>873688810.9787457</v>
      </c>
      <c r="V78" s="15">
        <v>866538251.17811465</v>
      </c>
      <c r="W78" s="15">
        <v>870623065.83670568</v>
      </c>
    </row>
    <row r="79" spans="1:23" x14ac:dyDescent="0.3">
      <c r="A79" s="6">
        <v>612</v>
      </c>
      <c r="B79" s="6" t="s">
        <v>78</v>
      </c>
      <c r="C79" s="6" t="s">
        <v>458</v>
      </c>
      <c r="D79" s="6" t="s">
        <v>257</v>
      </c>
      <c r="E79" s="6" t="s">
        <v>438</v>
      </c>
      <c r="F79" s="6"/>
      <c r="G79" s="6"/>
      <c r="H79" s="6">
        <v>0</v>
      </c>
      <c r="I79" s="6">
        <v>1</v>
      </c>
      <c r="J79" s="6">
        <v>0</v>
      </c>
      <c r="K79" s="7" t="s">
        <v>173</v>
      </c>
      <c r="L79" s="7" t="s">
        <v>173</v>
      </c>
      <c r="M79" s="7" t="s">
        <v>61</v>
      </c>
      <c r="N79" s="6" t="s">
        <v>56</v>
      </c>
      <c r="O79" s="19"/>
      <c r="P79" s="15">
        <f t="shared" si="3"/>
        <v>14028.378388133464</v>
      </c>
      <c r="Q79" s="15">
        <v>84496722.586626738</v>
      </c>
      <c r="R79" s="15">
        <v>155618586.85920051</v>
      </c>
      <c r="S79" s="15">
        <v>157386642.24539238</v>
      </c>
      <c r="T79" s="15">
        <v>150932388.60734701</v>
      </c>
      <c r="U79" s="15">
        <v>147452297.0828301</v>
      </c>
      <c r="V79" s="15">
        <v>144639635.9646841</v>
      </c>
      <c r="W79" s="15">
        <v>141460213.82326165</v>
      </c>
    </row>
    <row r="80" spans="1:23" x14ac:dyDescent="0.3">
      <c r="A80" s="6">
        <v>613</v>
      </c>
      <c r="B80" s="6" t="s">
        <v>79</v>
      </c>
      <c r="C80" s="6" t="s">
        <v>459</v>
      </c>
      <c r="D80" s="6" t="s">
        <v>258</v>
      </c>
      <c r="E80" s="6" t="s">
        <v>439</v>
      </c>
      <c r="F80" s="6"/>
      <c r="G80" s="6"/>
      <c r="H80" s="6">
        <v>0</v>
      </c>
      <c r="I80" s="6">
        <v>0</v>
      </c>
      <c r="J80" s="6">
        <v>0</v>
      </c>
      <c r="K80" s="7" t="s">
        <v>174</v>
      </c>
      <c r="L80" s="7" t="s">
        <v>174</v>
      </c>
      <c r="M80" s="7" t="s">
        <v>61</v>
      </c>
      <c r="N80" s="6" t="s">
        <v>56</v>
      </c>
      <c r="O80" s="19"/>
      <c r="P80" s="15">
        <f t="shared" si="3"/>
        <v>342217.73703514365</v>
      </c>
      <c r="Q80" s="15">
        <v>2797029392.5412984</v>
      </c>
      <c r="R80" s="15">
        <v>3558531860.1021767</v>
      </c>
      <c r="S80" s="15">
        <v>3594768632.9832244</v>
      </c>
      <c r="T80" s="15">
        <v>3518955426.0654082</v>
      </c>
      <c r="U80" s="15">
        <v>3517790208.4470239</v>
      </c>
      <c r="V80" s="15">
        <v>3499800907.3888192</v>
      </c>
      <c r="W80" s="15">
        <v>3468365164.932106</v>
      </c>
    </row>
    <row r="81" spans="1:23" x14ac:dyDescent="0.3">
      <c r="A81" s="6">
        <v>616</v>
      </c>
      <c r="B81" s="6" t="s">
        <v>80</v>
      </c>
      <c r="C81" s="6" t="s">
        <v>460</v>
      </c>
      <c r="D81" s="6" t="s">
        <v>259</v>
      </c>
      <c r="E81" s="6" t="s">
        <v>440</v>
      </c>
      <c r="F81" s="6"/>
      <c r="G81" s="6"/>
      <c r="H81" s="6">
        <v>0</v>
      </c>
      <c r="I81" s="6">
        <v>0</v>
      </c>
      <c r="J81" s="6">
        <v>0</v>
      </c>
      <c r="K81" s="7" t="s">
        <v>177</v>
      </c>
      <c r="L81" s="7" t="s">
        <v>177</v>
      </c>
      <c r="M81" s="7" t="s">
        <v>81</v>
      </c>
      <c r="N81" s="6" t="s">
        <v>56</v>
      </c>
      <c r="O81" s="19"/>
      <c r="P81" s="15">
        <f t="shared" si="3"/>
        <v>91503.758945230933</v>
      </c>
      <c r="Q81" s="15">
        <v>766127174.1801703</v>
      </c>
      <c r="R81" s="15">
        <v>949313166.00821114</v>
      </c>
      <c r="S81" s="15">
        <v>968496053.49629653</v>
      </c>
      <c r="T81" s="15">
        <v>937976831.57949662</v>
      </c>
      <c r="U81" s="15">
        <v>937968808.86053431</v>
      </c>
      <c r="V81" s="15">
        <v>926985961.40235484</v>
      </c>
      <c r="W81" s="15">
        <v>918395130.63910067</v>
      </c>
    </row>
    <row r="82" spans="1:23" x14ac:dyDescent="0.3">
      <c r="A82" s="6">
        <v>617</v>
      </c>
      <c r="B82" s="6" t="s">
        <v>82</v>
      </c>
      <c r="C82" s="6" t="s">
        <v>461</v>
      </c>
      <c r="D82" s="6" t="s">
        <v>260</v>
      </c>
      <c r="E82" s="6" t="s">
        <v>441</v>
      </c>
      <c r="F82" s="6"/>
      <c r="G82" s="6"/>
      <c r="H82" s="6">
        <v>0</v>
      </c>
      <c r="I82" s="6">
        <v>1</v>
      </c>
      <c r="J82" s="6">
        <v>0</v>
      </c>
      <c r="K82" s="17" t="s">
        <v>176</v>
      </c>
      <c r="L82" s="7" t="s">
        <v>176</v>
      </c>
      <c r="M82" s="7" t="s">
        <v>81</v>
      </c>
      <c r="N82" s="6" t="s">
        <v>56</v>
      </c>
      <c r="O82" s="19"/>
      <c r="P82" s="15">
        <f t="shared" si="3"/>
        <v>46759.543370237712</v>
      </c>
      <c r="Q82" s="15">
        <v>299770455.16748112</v>
      </c>
      <c r="R82" s="15">
        <v>475260997.55379814</v>
      </c>
      <c r="S82" s="15">
        <v>497014416.16775727</v>
      </c>
      <c r="T82" s="15">
        <v>490211132.26313287</v>
      </c>
      <c r="U82" s="15">
        <v>497212453.87200993</v>
      </c>
      <c r="V82" s="15">
        <v>503266158.05676788</v>
      </c>
      <c r="W82" s="15">
        <v>510432422.83569229</v>
      </c>
    </row>
    <row r="83" spans="1:23" x14ac:dyDescent="0.3">
      <c r="A83" s="6">
        <v>618</v>
      </c>
      <c r="B83" s="6" t="s">
        <v>83</v>
      </c>
      <c r="C83" s="6" t="s">
        <v>462</v>
      </c>
      <c r="D83" s="6" t="s">
        <v>261</v>
      </c>
      <c r="E83" s="6" t="s">
        <v>442</v>
      </c>
      <c r="F83" s="6"/>
      <c r="G83" s="6"/>
      <c r="H83" s="6">
        <v>0</v>
      </c>
      <c r="I83" s="6">
        <v>1</v>
      </c>
      <c r="J83" s="6">
        <v>0</v>
      </c>
      <c r="K83" s="7" t="s">
        <v>149</v>
      </c>
      <c r="L83" s="7" t="s">
        <v>149</v>
      </c>
      <c r="M83" s="7" t="s">
        <v>81</v>
      </c>
      <c r="N83" s="6" t="s">
        <v>56</v>
      </c>
      <c r="O83" s="19"/>
      <c r="P83" s="15">
        <f t="shared" si="3"/>
        <v>6366.9712172867903</v>
      </c>
      <c r="Q83" s="15">
        <v>28094700.097777557</v>
      </c>
      <c r="R83" s="15">
        <v>67415980.127409756</v>
      </c>
      <c r="S83" s="15">
        <v>71477642.907055363</v>
      </c>
      <c r="T83" s="15">
        <v>68907269.806026563</v>
      </c>
      <c r="U83" s="15">
        <v>69166824.45705536</v>
      </c>
      <c r="V83" s="15">
        <v>69785089.804890871</v>
      </c>
      <c r="W83" s="15">
        <v>70840478.009859845</v>
      </c>
    </row>
    <row r="84" spans="1:23" x14ac:dyDescent="0.3">
      <c r="A84" s="6">
        <v>621</v>
      </c>
      <c r="B84" s="6" t="s">
        <v>84</v>
      </c>
      <c r="C84" s="6" t="s">
        <v>463</v>
      </c>
      <c r="D84" s="6" t="s">
        <v>262</v>
      </c>
      <c r="E84" s="6" t="s">
        <v>443</v>
      </c>
      <c r="F84" s="6"/>
      <c r="G84" s="6"/>
      <c r="H84" s="6">
        <v>0</v>
      </c>
      <c r="I84" s="6">
        <v>0</v>
      </c>
      <c r="J84" s="6">
        <v>0</v>
      </c>
      <c r="K84" s="7" t="s">
        <v>174</v>
      </c>
      <c r="L84" s="7" t="s">
        <v>174</v>
      </c>
      <c r="M84" s="7" t="s">
        <v>61</v>
      </c>
      <c r="N84" s="6" t="s">
        <v>56</v>
      </c>
      <c r="O84" s="19"/>
      <c r="P84" s="15">
        <f t="shared" si="3"/>
        <v>905.4028571428571</v>
      </c>
      <c r="Q84" s="15">
        <v>7588461.5</v>
      </c>
      <c r="R84" s="15">
        <v>9424125</v>
      </c>
      <c r="S84" s="15">
        <v>9484819.5</v>
      </c>
      <c r="T84" s="15">
        <v>9238199</v>
      </c>
      <c r="U84" s="15">
        <v>9327864.5</v>
      </c>
      <c r="V84" s="15">
        <v>9262897.5</v>
      </c>
      <c r="W84" s="15">
        <v>9051833</v>
      </c>
    </row>
    <row r="85" spans="1:23" x14ac:dyDescent="0.3">
      <c r="A85" s="6">
        <v>622</v>
      </c>
      <c r="B85" s="6" t="s">
        <v>85</v>
      </c>
      <c r="C85" s="6" t="s">
        <v>464</v>
      </c>
      <c r="D85" s="6" t="s">
        <v>263</v>
      </c>
      <c r="E85" s="6" t="s">
        <v>444</v>
      </c>
      <c r="F85" s="6"/>
      <c r="G85" s="6"/>
      <c r="H85" s="6">
        <v>0</v>
      </c>
      <c r="I85" s="6">
        <v>1</v>
      </c>
      <c r="J85" s="6">
        <v>0</v>
      </c>
      <c r="K85" s="7" t="s">
        <v>175</v>
      </c>
      <c r="L85" s="7" t="s">
        <v>175</v>
      </c>
      <c r="M85" s="7" t="s">
        <v>61</v>
      </c>
      <c r="N85" s="6" t="s">
        <v>56</v>
      </c>
      <c r="O85" s="19"/>
      <c r="P85" s="15">
        <f t="shared" si="3"/>
        <v>978.29802142857147</v>
      </c>
      <c r="Q85" s="15">
        <v>8787853.5</v>
      </c>
      <c r="R85" s="15">
        <v>10454877</v>
      </c>
      <c r="S85" s="15">
        <v>10590767.5</v>
      </c>
      <c r="T85" s="15">
        <v>9502872.5</v>
      </c>
      <c r="U85" s="15">
        <v>9661691.5</v>
      </c>
      <c r="V85" s="15">
        <v>9817720</v>
      </c>
      <c r="W85" s="15">
        <v>9665079.5</v>
      </c>
    </row>
    <row r="86" spans="1:23" x14ac:dyDescent="0.3">
      <c r="A86" s="6">
        <v>623</v>
      </c>
      <c r="B86" s="9" t="s">
        <v>159</v>
      </c>
      <c r="C86" s="9" t="s">
        <v>465</v>
      </c>
      <c r="D86" s="9" t="s">
        <v>264</v>
      </c>
      <c r="E86" s="9" t="s">
        <v>445</v>
      </c>
      <c r="F86" s="9"/>
      <c r="G86" s="9"/>
      <c r="H86" s="9">
        <v>0</v>
      </c>
      <c r="I86" s="9">
        <v>1</v>
      </c>
      <c r="J86" s="9">
        <v>0</v>
      </c>
      <c r="K86" s="7" t="s">
        <v>173</v>
      </c>
      <c r="L86" s="7" t="s">
        <v>173</v>
      </c>
      <c r="M86" s="7" t="s">
        <v>61</v>
      </c>
      <c r="N86" s="6" t="s">
        <v>56</v>
      </c>
      <c r="O86" s="19"/>
      <c r="P86" s="15">
        <f t="shared" si="3"/>
        <v>288.11752857142858</v>
      </c>
      <c r="Q86" s="15">
        <v>2292586.5</v>
      </c>
      <c r="R86" s="15">
        <v>3106189.5</v>
      </c>
      <c r="S86" s="15">
        <v>3015914</v>
      </c>
      <c r="T86" s="15">
        <v>3104278</v>
      </c>
      <c r="U86" s="15">
        <v>3027529</v>
      </c>
      <c r="V86" s="15">
        <v>2849722</v>
      </c>
      <c r="W86" s="15">
        <v>2772008</v>
      </c>
    </row>
    <row r="87" spans="1:23" x14ac:dyDescent="0.3">
      <c r="A87" s="6">
        <v>625</v>
      </c>
      <c r="B87" s="6" t="s">
        <v>83</v>
      </c>
      <c r="C87" s="6" t="s">
        <v>462</v>
      </c>
      <c r="D87" s="6" t="s">
        <v>261</v>
      </c>
      <c r="E87" s="6" t="s">
        <v>442</v>
      </c>
      <c r="F87" s="6"/>
      <c r="G87" s="6"/>
      <c r="H87" s="6">
        <v>0</v>
      </c>
      <c r="I87" s="6">
        <v>0</v>
      </c>
      <c r="J87" s="6">
        <v>0</v>
      </c>
      <c r="K87" s="7" t="s">
        <v>149</v>
      </c>
      <c r="L87" s="7" t="s">
        <v>149</v>
      </c>
      <c r="M87" s="7" t="s">
        <v>81</v>
      </c>
      <c r="N87" s="6" t="s">
        <v>56</v>
      </c>
      <c r="O87" s="19"/>
      <c r="P87" s="15">
        <f t="shared" ref="P87:P91" si="4">IF(MAX(Q87:W87)&gt;0,AVERAGEIF(Q87:W87,"&gt;0"),0) / 10000</f>
        <v>3023.2251895531895</v>
      </c>
      <c r="Q87" s="15">
        <v>12956286.129032254</v>
      </c>
      <c r="R87" s="15">
        <v>32016655.525321286</v>
      </c>
      <c r="S87" s="15">
        <v>33606468.447478086</v>
      </c>
      <c r="T87" s="15">
        <v>32037319.777905285</v>
      </c>
      <c r="U87" s="15">
        <v>32290887.778809775</v>
      </c>
      <c r="V87" s="15">
        <v>34196970.316723563</v>
      </c>
      <c r="W87" s="15">
        <v>34521175.293453008</v>
      </c>
    </row>
    <row r="88" spans="1:23" x14ac:dyDescent="0.3">
      <c r="A88" s="6">
        <v>631</v>
      </c>
      <c r="B88" s="6" t="s">
        <v>86</v>
      </c>
      <c r="C88" s="6" t="s">
        <v>466</v>
      </c>
      <c r="D88" s="6" t="s">
        <v>265</v>
      </c>
      <c r="E88" s="6" t="s">
        <v>446</v>
      </c>
      <c r="F88" s="6"/>
      <c r="G88" s="6"/>
      <c r="H88" s="6">
        <v>0</v>
      </c>
      <c r="I88" s="6">
        <v>0</v>
      </c>
      <c r="J88" s="6">
        <v>0</v>
      </c>
      <c r="K88" s="7" t="s">
        <v>185</v>
      </c>
      <c r="L88" s="7" t="s">
        <v>185</v>
      </c>
      <c r="M88" t="s">
        <v>865</v>
      </c>
      <c r="N88" s="6" t="s">
        <v>870</v>
      </c>
      <c r="O88" s="19"/>
      <c r="P88" s="15">
        <f t="shared" si="4"/>
        <v>274.78955928571423</v>
      </c>
      <c r="Q88" s="15">
        <v>2705623.5</v>
      </c>
      <c r="R88" s="15">
        <v>2604195.5</v>
      </c>
      <c r="S88" s="15">
        <v>2973811.5</v>
      </c>
      <c r="T88" s="15">
        <v>2571316</v>
      </c>
      <c r="U88" s="15">
        <v>2550776.5</v>
      </c>
      <c r="V88" s="15">
        <v>2781380</v>
      </c>
      <c r="W88" s="15">
        <v>3048166.15</v>
      </c>
    </row>
    <row r="89" spans="1:23" x14ac:dyDescent="0.3">
      <c r="A89" s="6">
        <v>632</v>
      </c>
      <c r="B89" s="6" t="s">
        <v>87</v>
      </c>
      <c r="C89" s="6" t="s">
        <v>467</v>
      </c>
      <c r="D89" s="6" t="s">
        <v>266</v>
      </c>
      <c r="E89" s="6" t="s">
        <v>447</v>
      </c>
      <c r="F89" s="6"/>
      <c r="G89" s="6"/>
      <c r="H89" s="6">
        <v>0</v>
      </c>
      <c r="I89" s="6">
        <v>0</v>
      </c>
      <c r="J89" s="6">
        <v>0</v>
      </c>
      <c r="K89" s="7" t="s">
        <v>185</v>
      </c>
      <c r="L89" s="7" t="s">
        <v>185</v>
      </c>
      <c r="M89" t="s">
        <v>865</v>
      </c>
      <c r="N89" s="6" t="s">
        <v>870</v>
      </c>
      <c r="O89" s="19"/>
      <c r="P89" s="15">
        <f t="shared" si="4"/>
        <v>170.16036023221636</v>
      </c>
      <c r="Q89" s="15">
        <v>1145937.5</v>
      </c>
      <c r="R89" s="15">
        <v>1276519</v>
      </c>
      <c r="S89" s="15">
        <v>1768927.5</v>
      </c>
      <c r="T89" s="15">
        <v>2106763</v>
      </c>
      <c r="U89" s="15">
        <v>2030851</v>
      </c>
      <c r="V89" s="15">
        <v>1920843</v>
      </c>
      <c r="W89" s="15">
        <v>1661384.2162551451</v>
      </c>
    </row>
    <row r="90" spans="1:23" x14ac:dyDescent="0.3">
      <c r="A90" s="6">
        <v>634</v>
      </c>
      <c r="B90" s="6" t="s">
        <v>88</v>
      </c>
      <c r="C90" s="6" t="s">
        <v>468</v>
      </c>
      <c r="D90" s="6" t="s">
        <v>267</v>
      </c>
      <c r="E90" s="6" t="s">
        <v>448</v>
      </c>
      <c r="F90" s="6"/>
      <c r="G90" s="6">
        <v>2022</v>
      </c>
      <c r="H90" s="6">
        <v>0</v>
      </c>
      <c r="I90" s="6">
        <v>1</v>
      </c>
      <c r="J90" s="6">
        <v>0</v>
      </c>
      <c r="K90" s="7" t="s">
        <v>175</v>
      </c>
      <c r="L90" s="7" t="s">
        <v>175</v>
      </c>
      <c r="M90" s="7" t="s">
        <v>61</v>
      </c>
      <c r="N90" s="6" t="s">
        <v>56</v>
      </c>
      <c r="O90" s="19"/>
      <c r="P90" s="15">
        <f t="shared" si="4"/>
        <v>140.64303487363696</v>
      </c>
      <c r="Q90" s="15">
        <v>1123401.6808510632</v>
      </c>
      <c r="R90" s="15">
        <v>1297340.5</v>
      </c>
      <c r="S90" s="15">
        <v>1439673.7273087455</v>
      </c>
      <c r="T90" s="15">
        <v>1765305.48678567</v>
      </c>
      <c r="U90" s="15">
        <v>0</v>
      </c>
      <c r="V90" s="15">
        <v>0</v>
      </c>
      <c r="W90" s="15">
        <v>0</v>
      </c>
    </row>
    <row r="91" spans="1:23" x14ac:dyDescent="0.3">
      <c r="A91" s="6">
        <v>635</v>
      </c>
      <c r="B91" s="6" t="s">
        <v>434</v>
      </c>
      <c r="C91" s="6" t="s">
        <v>469</v>
      </c>
      <c r="D91" s="6" t="s">
        <v>268</v>
      </c>
      <c r="E91" s="6" t="s">
        <v>449</v>
      </c>
      <c r="F91" s="6">
        <v>2023</v>
      </c>
      <c r="G91" s="6"/>
      <c r="H91" s="6">
        <v>0</v>
      </c>
      <c r="I91" s="6">
        <v>1</v>
      </c>
      <c r="J91" s="6">
        <v>0</v>
      </c>
      <c r="K91" s="17" t="s">
        <v>175</v>
      </c>
      <c r="L91" s="7" t="s">
        <v>175</v>
      </c>
      <c r="M91" s="7" t="s">
        <v>61</v>
      </c>
      <c r="N91" s="6" t="s">
        <v>56</v>
      </c>
      <c r="O91" s="19"/>
      <c r="P91" s="15">
        <f t="shared" si="4"/>
        <v>432.90644982097774</v>
      </c>
      <c r="Q91" s="15">
        <v>0</v>
      </c>
      <c r="R91" s="15">
        <v>0</v>
      </c>
      <c r="S91" s="15">
        <v>0</v>
      </c>
      <c r="T91" s="15">
        <v>0</v>
      </c>
      <c r="U91" s="15">
        <v>2632607.888969271</v>
      </c>
      <c r="V91" s="15">
        <v>4522229.1968023581</v>
      </c>
      <c r="W91" s="15">
        <v>5832356.4088577004</v>
      </c>
    </row>
    <row r="92" spans="1:23" x14ac:dyDescent="0.3">
      <c r="A92" s="10">
        <v>650</v>
      </c>
      <c r="B92" s="11" t="s">
        <v>432</v>
      </c>
      <c r="C92" s="11" t="s">
        <v>470</v>
      </c>
      <c r="D92" s="11" t="s">
        <v>269</v>
      </c>
      <c r="E92" s="11" t="s">
        <v>433</v>
      </c>
      <c r="F92" s="11"/>
      <c r="G92" s="11">
        <v>2022</v>
      </c>
      <c r="H92" s="11">
        <v>0</v>
      </c>
      <c r="I92" s="11">
        <v>0</v>
      </c>
      <c r="J92" s="11">
        <v>0</v>
      </c>
      <c r="K92" s="11"/>
      <c r="L92" s="11"/>
      <c r="M92" s="7"/>
      <c r="N92" s="10"/>
      <c r="O92" s="21" t="s">
        <v>178</v>
      </c>
      <c r="P92" s="15">
        <f t="shared" ref="P92:P150" si="5">IF(MAX(Q92:W92)&gt;0,AVERAGEIF(Q92:W92,"&gt;0"),0) / 10000</f>
        <v>0</v>
      </c>
      <c r="Q92" s="15"/>
      <c r="R92" s="15"/>
      <c r="S92" s="15"/>
      <c r="T92" s="15"/>
      <c r="U92" s="15"/>
      <c r="V92" s="15"/>
      <c r="W92" s="15"/>
    </row>
    <row r="93" spans="1:23" x14ac:dyDescent="0.3">
      <c r="A93" s="6">
        <v>660</v>
      </c>
      <c r="B93" s="9" t="s">
        <v>160</v>
      </c>
      <c r="C93" s="9" t="s">
        <v>471</v>
      </c>
      <c r="D93" s="9" t="s">
        <v>270</v>
      </c>
      <c r="E93" s="9" t="s">
        <v>450</v>
      </c>
      <c r="F93" s="9"/>
      <c r="G93" s="9">
        <v>2022</v>
      </c>
      <c r="H93" s="9">
        <v>0</v>
      </c>
      <c r="I93" s="9">
        <v>0</v>
      </c>
      <c r="J93" s="9">
        <v>0</v>
      </c>
      <c r="K93" s="7" t="s">
        <v>177</v>
      </c>
      <c r="L93" s="7" t="s">
        <v>177</v>
      </c>
      <c r="M93" s="7" t="s">
        <v>81</v>
      </c>
      <c r="N93" s="6" t="s">
        <v>56</v>
      </c>
      <c r="O93" s="19"/>
      <c r="P93" s="15">
        <f t="shared" si="5"/>
        <v>0.16105714285714287</v>
      </c>
      <c r="Q93" s="15">
        <v>2868.5</v>
      </c>
      <c r="R93" s="15">
        <v>3636</v>
      </c>
      <c r="S93" s="15">
        <v>3636</v>
      </c>
      <c r="T93" s="15">
        <v>767.5</v>
      </c>
      <c r="U93" s="15">
        <v>122</v>
      </c>
      <c r="V93" s="15">
        <v>122</v>
      </c>
      <c r="W93" s="15">
        <v>122</v>
      </c>
    </row>
    <row r="94" spans="1:23" x14ac:dyDescent="0.3">
      <c r="A94" s="6">
        <v>693</v>
      </c>
      <c r="B94" s="9" t="s">
        <v>161</v>
      </c>
      <c r="C94" s="9" t="s">
        <v>472</v>
      </c>
      <c r="D94" s="9" t="s">
        <v>271</v>
      </c>
      <c r="E94" s="9" t="s">
        <v>451</v>
      </c>
      <c r="F94" s="9"/>
      <c r="G94" s="9"/>
      <c r="H94" s="9">
        <v>0</v>
      </c>
      <c r="I94" s="9">
        <v>1</v>
      </c>
      <c r="J94" s="9">
        <v>0</v>
      </c>
      <c r="K94" s="17" t="s">
        <v>176</v>
      </c>
      <c r="L94" s="7" t="s">
        <v>176</v>
      </c>
      <c r="M94" s="7" t="s">
        <v>81</v>
      </c>
      <c r="N94" s="6" t="s">
        <v>56</v>
      </c>
      <c r="O94" s="19"/>
      <c r="P94" s="15">
        <f t="shared" si="5"/>
        <v>39.68185714285714</v>
      </c>
      <c r="Q94" s="15">
        <v>202370</v>
      </c>
      <c r="R94" s="15">
        <v>205815.5</v>
      </c>
      <c r="S94" s="15">
        <v>235140</v>
      </c>
      <c r="T94" s="15">
        <v>252377.5</v>
      </c>
      <c r="U94" s="15">
        <v>599399</v>
      </c>
      <c r="V94" s="15">
        <v>613028.5</v>
      </c>
      <c r="W94" s="15">
        <v>669599.5</v>
      </c>
    </row>
    <row r="95" spans="1:23" x14ac:dyDescent="0.3">
      <c r="A95" s="6">
        <v>694</v>
      </c>
      <c r="B95" s="9" t="s">
        <v>162</v>
      </c>
      <c r="C95" s="9" t="s">
        <v>473</v>
      </c>
      <c r="D95" s="9" t="s">
        <v>272</v>
      </c>
      <c r="E95" s="9" t="s">
        <v>452</v>
      </c>
      <c r="F95" s="9"/>
      <c r="G95" s="9"/>
      <c r="H95" s="9">
        <v>0</v>
      </c>
      <c r="I95" s="9">
        <v>1</v>
      </c>
      <c r="J95" s="9">
        <v>0</v>
      </c>
      <c r="K95" s="7" t="s">
        <v>175</v>
      </c>
      <c r="L95" s="7" t="s">
        <v>175</v>
      </c>
      <c r="M95" s="7" t="s">
        <v>61</v>
      </c>
      <c r="N95" s="6" t="s">
        <v>56</v>
      </c>
      <c r="O95" s="19"/>
      <c r="P95" s="15">
        <f t="shared" si="5"/>
        <v>2941.1531020254765</v>
      </c>
      <c r="Q95" s="15">
        <v>1795302</v>
      </c>
      <c r="R95" s="15">
        <v>31176687.184444182</v>
      </c>
      <c r="S95" s="15">
        <v>32947915.282066062</v>
      </c>
      <c r="T95" s="15">
        <v>33959325.636772007</v>
      </c>
      <c r="U95" s="15">
        <v>34781315.214588791</v>
      </c>
      <c r="V95" s="15">
        <v>35366833.161183931</v>
      </c>
      <c r="W95" s="15">
        <v>35853338.662728406</v>
      </c>
    </row>
    <row r="96" spans="1:23" x14ac:dyDescent="0.3">
      <c r="A96" s="6">
        <v>697</v>
      </c>
      <c r="B96" s="6" t="s">
        <v>89</v>
      </c>
      <c r="C96" s="6" t="s">
        <v>474</v>
      </c>
      <c r="D96" s="6" t="s">
        <v>273</v>
      </c>
      <c r="E96" s="6" t="s">
        <v>453</v>
      </c>
      <c r="F96" s="6"/>
      <c r="G96" s="6"/>
      <c r="H96" s="6">
        <v>0</v>
      </c>
      <c r="I96" s="6">
        <v>0</v>
      </c>
      <c r="J96" s="6">
        <v>0</v>
      </c>
      <c r="K96" s="7" t="s">
        <v>174</v>
      </c>
      <c r="L96" s="7" t="s">
        <v>174</v>
      </c>
      <c r="M96" s="7" t="s">
        <v>61</v>
      </c>
      <c r="N96" s="6" t="s">
        <v>56</v>
      </c>
      <c r="O96" s="19"/>
      <c r="P96" s="15">
        <f t="shared" si="5"/>
        <v>258.88081789148288</v>
      </c>
      <c r="Q96" s="15">
        <v>1923218.7083333326</v>
      </c>
      <c r="R96" s="15">
        <v>2122438.8722222182</v>
      </c>
      <c r="S96" s="15">
        <v>2681194.2500788462</v>
      </c>
      <c r="T96" s="15">
        <v>2550952.3073464045</v>
      </c>
      <c r="U96" s="15">
        <v>2807975.0657249484</v>
      </c>
      <c r="V96" s="15">
        <v>3030309.559896179</v>
      </c>
      <c r="W96" s="15">
        <v>3005568.488801871</v>
      </c>
    </row>
    <row r="97" spans="1:23" x14ac:dyDescent="0.3">
      <c r="A97" s="6">
        <v>698</v>
      </c>
      <c r="B97" s="6" t="s">
        <v>90</v>
      </c>
      <c r="C97" s="6" t="s">
        <v>475</v>
      </c>
      <c r="D97" s="6" t="s">
        <v>274</v>
      </c>
      <c r="E97" s="6" t="s">
        <v>454</v>
      </c>
      <c r="F97" s="6"/>
      <c r="G97" s="6"/>
      <c r="H97" s="6">
        <v>0</v>
      </c>
      <c r="I97" s="6">
        <v>0</v>
      </c>
      <c r="J97" s="6">
        <v>0</v>
      </c>
      <c r="K97" s="7" t="s">
        <v>174</v>
      </c>
      <c r="L97" s="7" t="s">
        <v>174</v>
      </c>
      <c r="M97" s="7" t="s">
        <v>61</v>
      </c>
      <c r="N97" s="6" t="s">
        <v>56</v>
      </c>
      <c r="O97" s="19"/>
      <c r="P97" s="15">
        <f t="shared" si="5"/>
        <v>644.11448429844836</v>
      </c>
      <c r="Q97" s="15">
        <v>6197593.4126984132</v>
      </c>
      <c r="R97" s="15">
        <v>5923982.555555556</v>
      </c>
      <c r="S97" s="15">
        <v>6708908.7055555582</v>
      </c>
      <c r="T97" s="15">
        <v>6500280.1517571826</v>
      </c>
      <c r="U97" s="15">
        <v>6456061.2999999998</v>
      </c>
      <c r="V97" s="15">
        <v>6618231.1181818191</v>
      </c>
      <c r="W97" s="15">
        <v>6682956.6571428552</v>
      </c>
    </row>
    <row r="98" spans="1:23" x14ac:dyDescent="0.3">
      <c r="A98" s="6">
        <v>701</v>
      </c>
      <c r="B98" s="6" t="s">
        <v>91</v>
      </c>
      <c r="C98" s="6" t="s">
        <v>540</v>
      </c>
      <c r="D98" s="6" t="s">
        <v>479</v>
      </c>
      <c r="E98" s="6" t="s">
        <v>480</v>
      </c>
      <c r="F98" s="6"/>
      <c r="G98" s="6"/>
      <c r="H98" s="6">
        <v>0</v>
      </c>
      <c r="I98" s="6">
        <v>0</v>
      </c>
      <c r="J98" s="6">
        <v>1</v>
      </c>
      <c r="K98" s="7" t="s">
        <v>92</v>
      </c>
      <c r="L98" s="7" t="s">
        <v>92</v>
      </c>
      <c r="M98" s="7" t="s">
        <v>861</v>
      </c>
      <c r="N98" s="6" t="s">
        <v>838</v>
      </c>
      <c r="O98" s="19"/>
      <c r="P98" s="15">
        <f t="shared" si="5"/>
        <v>7885.3971952557295</v>
      </c>
      <c r="Q98" s="15">
        <v>54667445.567159131</v>
      </c>
      <c r="R98" s="15">
        <v>91779580.075251549</v>
      </c>
      <c r="S98" s="15">
        <v>88875585.995337307</v>
      </c>
      <c r="T98" s="15">
        <v>80640738.334701329</v>
      </c>
      <c r="U98" s="15">
        <v>80696937.800871417</v>
      </c>
      <c r="V98" s="15">
        <v>78332192.985085174</v>
      </c>
      <c r="W98" s="15">
        <v>76985322.909495115</v>
      </c>
    </row>
    <row r="99" spans="1:23" x14ac:dyDescent="0.3">
      <c r="A99" s="6">
        <v>702</v>
      </c>
      <c r="B99" s="6" t="s">
        <v>93</v>
      </c>
      <c r="C99" s="6" t="s">
        <v>541</v>
      </c>
      <c r="D99" s="6" t="s">
        <v>481</v>
      </c>
      <c r="E99" s="6" t="s">
        <v>482</v>
      </c>
      <c r="F99" s="6"/>
      <c r="G99" s="6"/>
      <c r="H99" s="6">
        <v>0</v>
      </c>
      <c r="I99" s="6">
        <v>0</v>
      </c>
      <c r="J99" s="6">
        <v>1</v>
      </c>
      <c r="K99" s="7" t="s">
        <v>94</v>
      </c>
      <c r="L99" s="7" t="s">
        <v>191</v>
      </c>
      <c r="M99" s="7" t="s">
        <v>861</v>
      </c>
      <c r="N99" s="6" t="s">
        <v>838</v>
      </c>
      <c r="O99" s="19"/>
      <c r="P99" s="15">
        <f t="shared" si="5"/>
        <v>3724.4957920731567</v>
      </c>
      <c r="Q99" s="15">
        <v>31309097.81456456</v>
      </c>
      <c r="R99" s="15">
        <v>40413727.97037036</v>
      </c>
      <c r="S99" s="15">
        <v>37448440.423756309</v>
      </c>
      <c r="T99" s="15">
        <v>36861197.576674424</v>
      </c>
      <c r="U99" s="15">
        <v>38392910.757772505</v>
      </c>
      <c r="V99" s="15">
        <v>38203720.008874476</v>
      </c>
      <c r="W99" s="15">
        <v>38085610.893108323</v>
      </c>
    </row>
    <row r="100" spans="1:23" x14ac:dyDescent="0.3">
      <c r="A100" s="6">
        <v>703</v>
      </c>
      <c r="B100" s="6" t="s">
        <v>95</v>
      </c>
      <c r="C100" s="6" t="s">
        <v>542</v>
      </c>
      <c r="D100" s="6" t="s">
        <v>483</v>
      </c>
      <c r="E100" s="6" t="s">
        <v>484</v>
      </c>
      <c r="F100" s="6"/>
      <c r="G100" s="6"/>
      <c r="H100" s="6">
        <v>0</v>
      </c>
      <c r="I100" s="6">
        <v>0</v>
      </c>
      <c r="J100" s="6">
        <v>1</v>
      </c>
      <c r="K100" s="7" t="s">
        <v>96</v>
      </c>
      <c r="L100" s="7" t="s">
        <v>191</v>
      </c>
      <c r="M100" s="7" t="s">
        <v>861</v>
      </c>
      <c r="N100" s="6" t="s">
        <v>838</v>
      </c>
      <c r="O100" s="19"/>
      <c r="P100" s="15">
        <f t="shared" si="5"/>
        <v>719.9364198236982</v>
      </c>
      <c r="Q100" s="15">
        <v>4585828.5611729706</v>
      </c>
      <c r="R100" s="15">
        <v>7717293.0481135473</v>
      </c>
      <c r="S100" s="15">
        <v>7296325.5481135473</v>
      </c>
      <c r="T100" s="15">
        <v>7507761.5481135473</v>
      </c>
      <c r="U100" s="15">
        <v>7769097.15595318</v>
      </c>
      <c r="V100" s="15">
        <v>7720789.5130960438</v>
      </c>
      <c r="W100" s="15">
        <v>7798454.0130960438</v>
      </c>
    </row>
    <row r="101" spans="1:23" x14ac:dyDescent="0.3">
      <c r="A101" s="6">
        <v>704</v>
      </c>
      <c r="B101" s="6" t="s">
        <v>97</v>
      </c>
      <c r="C101" s="6" t="s">
        <v>543</v>
      </c>
      <c r="D101" s="6" t="s">
        <v>485</v>
      </c>
      <c r="E101" s="6" t="s">
        <v>486</v>
      </c>
      <c r="F101" s="6"/>
      <c r="G101" s="6"/>
      <c r="H101" s="6">
        <v>0</v>
      </c>
      <c r="I101" s="6">
        <v>0</v>
      </c>
      <c r="J101" s="6">
        <v>1</v>
      </c>
      <c r="K101" s="7" t="s">
        <v>180</v>
      </c>
      <c r="L101" s="7" t="s">
        <v>191</v>
      </c>
      <c r="M101" s="7" t="s">
        <v>861</v>
      </c>
      <c r="N101" s="6" t="s">
        <v>838</v>
      </c>
      <c r="O101" s="19"/>
      <c r="P101" s="15">
        <f t="shared" si="5"/>
        <v>1580.3258393863066</v>
      </c>
      <c r="Q101" s="15">
        <v>10398999.311300637</v>
      </c>
      <c r="R101" s="15">
        <v>17134141.753318012</v>
      </c>
      <c r="S101" s="15">
        <v>15980530.103449404</v>
      </c>
      <c r="T101" s="15">
        <v>16039107.086463265</v>
      </c>
      <c r="U101" s="15">
        <v>17140016.124905042</v>
      </c>
      <c r="V101" s="15">
        <v>17027094.53666975</v>
      </c>
      <c r="W101" s="15">
        <v>16902919.840935349</v>
      </c>
    </row>
    <row r="102" spans="1:23" x14ac:dyDescent="0.3">
      <c r="A102" s="6">
        <v>705</v>
      </c>
      <c r="B102" s="6" t="s">
        <v>98</v>
      </c>
      <c r="C102" s="6" t="s">
        <v>99</v>
      </c>
      <c r="D102" s="6" t="s">
        <v>487</v>
      </c>
      <c r="E102" s="6" t="s">
        <v>488</v>
      </c>
      <c r="F102" s="6"/>
      <c r="G102" s="6"/>
      <c r="H102" s="6">
        <v>0</v>
      </c>
      <c r="I102" s="6">
        <v>0</v>
      </c>
      <c r="J102" s="6">
        <v>1</v>
      </c>
      <c r="K102" s="6" t="s">
        <v>864</v>
      </c>
      <c r="L102" s="6" t="s">
        <v>864</v>
      </c>
      <c r="M102" s="6" t="s">
        <v>856</v>
      </c>
      <c r="N102" s="6" t="s">
        <v>838</v>
      </c>
      <c r="O102" s="19"/>
      <c r="P102" s="15">
        <f t="shared" si="5"/>
        <v>587.84841504868666</v>
      </c>
      <c r="Q102" s="15">
        <v>5139811.6117312079</v>
      </c>
      <c r="R102" s="15">
        <v>5954217.5705093835</v>
      </c>
      <c r="S102" s="15">
        <v>5624733.963326944</v>
      </c>
      <c r="T102" s="15">
        <v>5835957.3367446624</v>
      </c>
      <c r="U102" s="15">
        <v>6199888.0928243129</v>
      </c>
      <c r="V102" s="15">
        <v>6291622.7064606762</v>
      </c>
      <c r="W102" s="15">
        <v>6103157.7718108865</v>
      </c>
    </row>
    <row r="103" spans="1:23" x14ac:dyDescent="0.3">
      <c r="A103" s="6">
        <v>706</v>
      </c>
      <c r="B103" s="6" t="s">
        <v>100</v>
      </c>
      <c r="C103" s="6" t="s">
        <v>101</v>
      </c>
      <c r="D103" s="6" t="s">
        <v>489</v>
      </c>
      <c r="E103" s="6" t="s">
        <v>490</v>
      </c>
      <c r="F103" s="6"/>
      <c r="G103" s="6"/>
      <c r="H103" s="6">
        <v>0</v>
      </c>
      <c r="I103" s="6">
        <v>0</v>
      </c>
      <c r="J103" s="6">
        <v>1</v>
      </c>
      <c r="K103" s="6" t="s">
        <v>854</v>
      </c>
      <c r="L103" s="6" t="s">
        <v>854</v>
      </c>
      <c r="M103" s="6" t="s">
        <v>856</v>
      </c>
      <c r="N103" s="6" t="s">
        <v>838</v>
      </c>
      <c r="O103" s="19"/>
      <c r="P103" s="15">
        <f t="shared" si="5"/>
        <v>201.99794814810815</v>
      </c>
      <c r="Q103" s="15">
        <v>1304229.5</v>
      </c>
      <c r="R103" s="15">
        <v>2165333.0941118067</v>
      </c>
      <c r="S103" s="15">
        <v>1613864.8643067926</v>
      </c>
      <c r="T103" s="15">
        <v>1670201.6604845196</v>
      </c>
      <c r="U103" s="15">
        <v>2323335.5546875</v>
      </c>
      <c r="V103" s="15">
        <v>2484240.7941785539</v>
      </c>
      <c r="W103" s="15">
        <v>2578650.9025983987</v>
      </c>
    </row>
    <row r="104" spans="1:23" x14ac:dyDescent="0.3">
      <c r="A104" s="6">
        <v>707</v>
      </c>
      <c r="B104" s="6" t="s">
        <v>102</v>
      </c>
      <c r="C104" s="6" t="s">
        <v>544</v>
      </c>
      <c r="D104" s="6" t="s">
        <v>491</v>
      </c>
      <c r="E104" s="6" t="s">
        <v>492</v>
      </c>
      <c r="F104" s="6"/>
      <c r="G104" s="6"/>
      <c r="H104" s="6">
        <v>0</v>
      </c>
      <c r="I104" s="6">
        <v>0</v>
      </c>
      <c r="J104" s="6">
        <v>0</v>
      </c>
      <c r="K104" s="6" t="s">
        <v>855</v>
      </c>
      <c r="L104" t="s">
        <v>855</v>
      </c>
      <c r="M104" s="6" t="s">
        <v>856</v>
      </c>
      <c r="N104" s="6" t="s">
        <v>838</v>
      </c>
      <c r="O104" s="19"/>
      <c r="P104" s="15">
        <f t="shared" si="5"/>
        <v>67.779301560828657</v>
      </c>
      <c r="Q104" s="15">
        <v>786281</v>
      </c>
      <c r="R104" s="15">
        <v>813602</v>
      </c>
      <c r="S104" s="15">
        <v>512799.36108061578</v>
      </c>
      <c r="T104" s="15">
        <v>516544.24817739055</v>
      </c>
      <c r="U104" s="15">
        <v>763404.5</v>
      </c>
      <c r="V104" s="15">
        <v>681738</v>
      </c>
      <c r="W104" s="15">
        <v>670182</v>
      </c>
    </row>
    <row r="105" spans="1:23" x14ac:dyDescent="0.3">
      <c r="A105" s="6">
        <v>708</v>
      </c>
      <c r="B105" s="6" t="s">
        <v>103</v>
      </c>
      <c r="C105" s="6" t="s">
        <v>104</v>
      </c>
      <c r="D105" s="6" t="s">
        <v>493</v>
      </c>
      <c r="E105" s="6" t="s">
        <v>494</v>
      </c>
      <c r="F105" s="6"/>
      <c r="G105" s="6"/>
      <c r="H105" s="6">
        <v>0</v>
      </c>
      <c r="I105" s="6">
        <v>0</v>
      </c>
      <c r="J105" s="6">
        <v>1</v>
      </c>
      <c r="K105" s="6" t="s">
        <v>104</v>
      </c>
      <c r="L105" t="s">
        <v>855</v>
      </c>
      <c r="M105" s="6" t="s">
        <v>856</v>
      </c>
      <c r="N105" s="6" t="s">
        <v>838</v>
      </c>
      <c r="O105" s="19"/>
      <c r="P105" s="15">
        <f t="shared" si="5"/>
        <v>19.695412124199326</v>
      </c>
      <c r="Q105" s="15">
        <v>205294.22400796495</v>
      </c>
      <c r="R105" s="15">
        <v>208602.22400796495</v>
      </c>
      <c r="S105" s="15">
        <v>171035.22400796495</v>
      </c>
      <c r="T105" s="15">
        <v>163781.22555668594</v>
      </c>
      <c r="U105" s="15">
        <v>211430.72555668594</v>
      </c>
      <c r="V105" s="15">
        <v>213453.72555668594</v>
      </c>
      <c r="W105" s="15">
        <v>205081.5</v>
      </c>
    </row>
    <row r="106" spans="1:23" x14ac:dyDescent="0.3">
      <c r="A106" s="6">
        <v>709</v>
      </c>
      <c r="B106" s="6" t="s">
        <v>105</v>
      </c>
      <c r="C106" s="6" t="s">
        <v>545</v>
      </c>
      <c r="D106" s="6" t="s">
        <v>495</v>
      </c>
      <c r="E106" s="6" t="s">
        <v>496</v>
      </c>
      <c r="F106" s="6"/>
      <c r="G106" s="6"/>
      <c r="H106" s="6">
        <v>0</v>
      </c>
      <c r="I106" s="6">
        <v>0</v>
      </c>
      <c r="J106" s="6">
        <v>1</v>
      </c>
      <c r="K106" s="6" t="s">
        <v>545</v>
      </c>
      <c r="L106" s="6" t="s">
        <v>857</v>
      </c>
      <c r="M106" s="6" t="s">
        <v>856</v>
      </c>
      <c r="N106" s="6" t="s">
        <v>838</v>
      </c>
      <c r="O106" s="19"/>
      <c r="P106" s="15">
        <f t="shared" si="5"/>
        <v>105.85184181478138</v>
      </c>
      <c r="Q106" s="15">
        <v>1048649.6023125416</v>
      </c>
      <c r="R106" s="15">
        <v>1060552.5914023372</v>
      </c>
      <c r="S106" s="15">
        <v>790338</v>
      </c>
      <c r="T106" s="15">
        <v>773558.09009741026</v>
      </c>
      <c r="U106" s="15">
        <v>1183437.7541599101</v>
      </c>
      <c r="V106" s="15">
        <v>1265020.6640625</v>
      </c>
      <c r="W106" s="15">
        <v>1288072.2249999982</v>
      </c>
    </row>
    <row r="107" spans="1:23" x14ac:dyDescent="0.3">
      <c r="A107" s="6">
        <v>710</v>
      </c>
      <c r="B107" s="6" t="s">
        <v>106</v>
      </c>
      <c r="C107" s="6" t="s">
        <v>151</v>
      </c>
      <c r="D107" s="6" t="s">
        <v>497</v>
      </c>
      <c r="E107" s="6" t="s">
        <v>498</v>
      </c>
      <c r="F107" s="6"/>
      <c r="G107" s="6"/>
      <c r="H107" s="6">
        <v>0</v>
      </c>
      <c r="I107" s="6">
        <v>0</v>
      </c>
      <c r="J107" s="6">
        <v>1</v>
      </c>
      <c r="K107" s="6" t="s">
        <v>151</v>
      </c>
      <c r="L107" s="6" t="s">
        <v>857</v>
      </c>
      <c r="M107" s="6" t="s">
        <v>856</v>
      </c>
      <c r="N107" s="6" t="s">
        <v>838</v>
      </c>
      <c r="O107" s="19"/>
      <c r="P107" s="15">
        <f t="shared" si="5"/>
        <v>448.53587961961534</v>
      </c>
      <c r="Q107" s="15">
        <v>3948135.1937188967</v>
      </c>
      <c r="R107" s="15">
        <v>4677285.7112431917</v>
      </c>
      <c r="S107" s="15">
        <v>3783742.265068437</v>
      </c>
      <c r="T107" s="15">
        <v>3812916.0944962478</v>
      </c>
      <c r="U107" s="15">
        <v>5038368.84994049</v>
      </c>
      <c r="V107" s="15">
        <v>4993127.1259663813</v>
      </c>
      <c r="W107" s="15">
        <v>5143936.3329394255</v>
      </c>
    </row>
    <row r="108" spans="1:23" x14ac:dyDescent="0.3">
      <c r="A108" s="9">
        <v>711</v>
      </c>
      <c r="B108" s="9" t="s">
        <v>163</v>
      </c>
      <c r="C108" s="9" t="s">
        <v>546</v>
      </c>
      <c r="D108" s="9" t="s">
        <v>499</v>
      </c>
      <c r="E108" s="9" t="s">
        <v>500</v>
      </c>
      <c r="F108" s="9"/>
      <c r="G108" s="9"/>
      <c r="H108" s="9">
        <v>0</v>
      </c>
      <c r="I108" s="9">
        <v>0</v>
      </c>
      <c r="J108" s="9">
        <v>1</v>
      </c>
      <c r="K108" s="7"/>
      <c r="M108" s="6"/>
      <c r="N108" s="6"/>
      <c r="O108" s="19" t="s">
        <v>178</v>
      </c>
      <c r="P108" s="15">
        <f t="shared" si="5"/>
        <v>0.26866428571428574</v>
      </c>
      <c r="Q108" s="15">
        <v>916.5</v>
      </c>
      <c r="R108" s="15">
        <v>946.5</v>
      </c>
      <c r="S108" s="15">
        <v>807.5</v>
      </c>
      <c r="T108" s="15">
        <v>1030.5</v>
      </c>
      <c r="U108" s="15">
        <v>1620</v>
      </c>
      <c r="V108" s="15">
        <v>3455</v>
      </c>
      <c r="W108" s="15">
        <v>10030.5</v>
      </c>
    </row>
    <row r="109" spans="1:23" x14ac:dyDescent="0.3">
      <c r="A109" s="6">
        <v>712</v>
      </c>
      <c r="B109" s="6" t="s">
        <v>107</v>
      </c>
      <c r="C109" s="6" t="s">
        <v>108</v>
      </c>
      <c r="D109" s="6" t="s">
        <v>501</v>
      </c>
      <c r="E109" s="6" t="s">
        <v>502</v>
      </c>
      <c r="F109" s="6"/>
      <c r="G109" s="6"/>
      <c r="H109" s="6">
        <v>0</v>
      </c>
      <c r="I109" s="6">
        <v>0</v>
      </c>
      <c r="J109" s="6">
        <v>0</v>
      </c>
      <c r="K109" s="7" t="s">
        <v>872</v>
      </c>
      <c r="L109" s="7" t="s">
        <v>872</v>
      </c>
      <c r="M109" s="7" t="s">
        <v>879</v>
      </c>
      <c r="N109" s="6" t="s">
        <v>838</v>
      </c>
      <c r="O109" s="19"/>
      <c r="P109" s="15">
        <f t="shared" si="5"/>
        <v>659.38288226136331</v>
      </c>
      <c r="Q109" s="15">
        <v>6784344.5</v>
      </c>
      <c r="R109" s="15">
        <v>7135277.6894213296</v>
      </c>
      <c r="S109" s="15">
        <v>5643088.9894213313</v>
      </c>
      <c r="T109" s="15">
        <v>5512480.9894213313</v>
      </c>
      <c r="U109" s="15">
        <v>6903531.4894213313</v>
      </c>
      <c r="V109" s="15">
        <v>6976337.6894213296</v>
      </c>
      <c r="W109" s="15">
        <v>7201740.4111887794</v>
      </c>
    </row>
    <row r="110" spans="1:23" x14ac:dyDescent="0.3">
      <c r="A110" s="6">
        <v>713</v>
      </c>
      <c r="B110" s="6" t="s">
        <v>109</v>
      </c>
      <c r="C110" s="6" t="s">
        <v>547</v>
      </c>
      <c r="D110" s="6" t="s">
        <v>503</v>
      </c>
      <c r="E110" s="6" t="s">
        <v>504</v>
      </c>
      <c r="F110" s="6"/>
      <c r="G110" s="6"/>
      <c r="H110" s="6">
        <v>0</v>
      </c>
      <c r="I110" s="6">
        <v>0</v>
      </c>
      <c r="J110" s="6">
        <v>0</v>
      </c>
      <c r="K110" s="7" t="s">
        <v>873</v>
      </c>
      <c r="L110" s="7" t="s">
        <v>873</v>
      </c>
      <c r="M110" s="7" t="s">
        <v>873</v>
      </c>
      <c r="N110" s="6" t="s">
        <v>838</v>
      </c>
      <c r="O110" s="19" t="s">
        <v>178</v>
      </c>
      <c r="P110" s="15">
        <f t="shared" si="5"/>
        <v>64.273642857142846</v>
      </c>
      <c r="Q110" s="15">
        <v>553191</v>
      </c>
      <c r="R110" s="15">
        <v>597847</v>
      </c>
      <c r="S110" s="15">
        <v>474220.5</v>
      </c>
      <c r="T110" s="15">
        <v>512938</v>
      </c>
      <c r="U110" s="15">
        <v>758535.5</v>
      </c>
      <c r="V110" s="15">
        <v>805600.5</v>
      </c>
      <c r="W110" s="15">
        <v>796822.5</v>
      </c>
    </row>
    <row r="111" spans="1:23" x14ac:dyDescent="0.3">
      <c r="A111" s="6">
        <v>714</v>
      </c>
      <c r="B111" s="6" t="s">
        <v>110</v>
      </c>
      <c r="C111" s="6" t="s">
        <v>548</v>
      </c>
      <c r="D111" s="6" t="s">
        <v>505</v>
      </c>
      <c r="E111" s="6" t="s">
        <v>506</v>
      </c>
      <c r="F111" s="6"/>
      <c r="G111" s="6"/>
      <c r="H111" s="6">
        <v>0</v>
      </c>
      <c r="I111" s="6">
        <v>0</v>
      </c>
      <c r="J111" s="6">
        <v>0</v>
      </c>
      <c r="K111" s="17"/>
      <c r="L111" s="7"/>
      <c r="M111" s="7"/>
      <c r="N111" s="6"/>
      <c r="O111" s="19" t="s">
        <v>178</v>
      </c>
      <c r="P111" s="15">
        <f t="shared" si="5"/>
        <v>148.12741428571431</v>
      </c>
      <c r="Q111" s="15">
        <v>1339067</v>
      </c>
      <c r="R111" s="15">
        <v>1553697</v>
      </c>
      <c r="S111" s="15">
        <v>1449808</v>
      </c>
      <c r="T111" s="15">
        <v>1451774</v>
      </c>
      <c r="U111" s="15">
        <v>1538219.5</v>
      </c>
      <c r="V111" s="15">
        <v>1550944.5</v>
      </c>
      <c r="W111" s="15">
        <v>1485409</v>
      </c>
    </row>
    <row r="112" spans="1:23" x14ac:dyDescent="0.3">
      <c r="A112" s="6">
        <v>715</v>
      </c>
      <c r="B112" s="6" t="s">
        <v>111</v>
      </c>
      <c r="C112" s="6" t="s">
        <v>549</v>
      </c>
      <c r="D112" s="6" t="s">
        <v>507</v>
      </c>
      <c r="E112" s="6" t="s">
        <v>508</v>
      </c>
      <c r="F112" s="6"/>
      <c r="G112" s="6">
        <v>2022</v>
      </c>
      <c r="H112" s="6">
        <v>0</v>
      </c>
      <c r="I112" s="6">
        <v>0</v>
      </c>
      <c r="J112" s="6">
        <v>0</v>
      </c>
      <c r="K112" s="17" t="s">
        <v>873</v>
      </c>
      <c r="L112" s="7" t="s">
        <v>873</v>
      </c>
      <c r="M112" s="7" t="s">
        <v>873</v>
      </c>
      <c r="N112" s="6" t="s">
        <v>838</v>
      </c>
      <c r="O112" s="19" t="s">
        <v>178</v>
      </c>
      <c r="P112" s="15">
        <f t="shared" si="5"/>
        <v>403.44713950635224</v>
      </c>
      <c r="Q112" s="15">
        <v>3412924.5</v>
      </c>
      <c r="R112" s="15">
        <v>3701656.6297367974</v>
      </c>
      <c r="S112" s="15">
        <v>6027076.7514288025</v>
      </c>
      <c r="T112" s="15">
        <v>2996227.6990884878</v>
      </c>
      <c r="U112" s="15">
        <v>0</v>
      </c>
      <c r="V112" s="15">
        <v>0</v>
      </c>
      <c r="W112" s="15">
        <v>0</v>
      </c>
    </row>
    <row r="113" spans="1:23" x14ac:dyDescent="0.3">
      <c r="A113" s="6">
        <v>717</v>
      </c>
      <c r="B113" s="6" t="s">
        <v>112</v>
      </c>
      <c r="C113" s="6" t="s">
        <v>550</v>
      </c>
      <c r="D113" s="6" t="s">
        <v>509</v>
      </c>
      <c r="E113" s="6" t="s">
        <v>510</v>
      </c>
      <c r="F113" s="6"/>
      <c r="G113" s="6"/>
      <c r="H113" s="6">
        <v>0</v>
      </c>
      <c r="I113" s="6">
        <v>1</v>
      </c>
      <c r="J113" s="6">
        <v>1</v>
      </c>
      <c r="K113" s="7" t="s">
        <v>92</v>
      </c>
      <c r="L113" s="7" t="s">
        <v>92</v>
      </c>
      <c r="M113" s="7" t="s">
        <v>861</v>
      </c>
      <c r="N113" s="6" t="s">
        <v>838</v>
      </c>
      <c r="O113" s="19"/>
      <c r="P113" s="15">
        <f>IF(MAX(Q113:W113)&gt;0,AVERAGEIF(Q113:W113,"&gt;0"),0) / 10000</f>
        <v>4031.8841535003698</v>
      </c>
      <c r="Q113" s="15">
        <v>16867029.209003974</v>
      </c>
      <c r="R113" s="15">
        <v>33977884.794846639</v>
      </c>
      <c r="S113" s="15">
        <v>42934076.745895073</v>
      </c>
      <c r="T113" s="15">
        <v>42432286.067164734</v>
      </c>
      <c r="U113" s="15">
        <v>45719877.541928031</v>
      </c>
      <c r="V113" s="15">
        <v>48415854.981417112</v>
      </c>
      <c r="W113" s="15">
        <v>51884881.404770337</v>
      </c>
    </row>
    <row r="114" spans="1:23" x14ac:dyDescent="0.3">
      <c r="A114" s="6">
        <v>718</v>
      </c>
      <c r="B114" s="6" t="s">
        <v>113</v>
      </c>
      <c r="C114" s="6" t="s">
        <v>551</v>
      </c>
      <c r="D114" s="6" t="s">
        <v>511</v>
      </c>
      <c r="E114" s="6" t="s">
        <v>512</v>
      </c>
      <c r="F114" s="6"/>
      <c r="G114" s="6"/>
      <c r="H114" s="6">
        <v>0</v>
      </c>
      <c r="I114" s="6">
        <v>0</v>
      </c>
      <c r="J114" s="6">
        <v>0</v>
      </c>
      <c r="K114" s="7"/>
      <c r="M114" s="6"/>
      <c r="N114" s="6"/>
      <c r="O114" s="19" t="s">
        <v>178</v>
      </c>
      <c r="P114" s="15">
        <f t="shared" si="5"/>
        <v>38.679935714285719</v>
      </c>
      <c r="Q114" s="15">
        <v>264798.5</v>
      </c>
      <c r="R114" s="15">
        <v>297422</v>
      </c>
      <c r="S114" s="15">
        <v>295536</v>
      </c>
      <c r="T114" s="15">
        <v>365447.5</v>
      </c>
      <c r="U114" s="15">
        <v>488755.5</v>
      </c>
      <c r="V114" s="15">
        <v>498193</v>
      </c>
      <c r="W114" s="15">
        <v>497443</v>
      </c>
    </row>
    <row r="115" spans="1:23" x14ac:dyDescent="0.3">
      <c r="A115" s="6">
        <v>719</v>
      </c>
      <c r="B115" s="6" t="s">
        <v>114</v>
      </c>
      <c r="C115" s="6" t="s">
        <v>552</v>
      </c>
      <c r="D115" s="6" t="s">
        <v>513</v>
      </c>
      <c r="E115" s="6" t="s">
        <v>514</v>
      </c>
      <c r="F115" s="6"/>
      <c r="G115" s="6"/>
      <c r="H115" s="6">
        <v>0</v>
      </c>
      <c r="I115" s="6">
        <v>0</v>
      </c>
      <c r="J115" s="6">
        <v>0</v>
      </c>
      <c r="K115" s="7"/>
      <c r="L115" s="6"/>
      <c r="M115" s="6"/>
      <c r="N115" s="6"/>
      <c r="O115" s="19" t="s">
        <v>178</v>
      </c>
      <c r="P115" s="15">
        <f t="shared" si="5"/>
        <v>0.96521298701299652</v>
      </c>
      <c r="Q115" s="15">
        <v>11778.136363636586</v>
      </c>
      <c r="R115" s="15">
        <v>12577.136363636586</v>
      </c>
      <c r="S115" s="15">
        <v>6109.1363636365859</v>
      </c>
      <c r="T115" s="15">
        <v>6109.5</v>
      </c>
      <c r="U115" s="15">
        <v>10664</v>
      </c>
      <c r="V115" s="15">
        <v>8656.5</v>
      </c>
      <c r="W115" s="15">
        <v>11670.5</v>
      </c>
    </row>
    <row r="116" spans="1:23" x14ac:dyDescent="0.3">
      <c r="A116" s="6">
        <v>720</v>
      </c>
      <c r="B116" s="6" t="s">
        <v>476</v>
      </c>
      <c r="C116" s="6" t="s">
        <v>553</v>
      </c>
      <c r="D116" s="6" t="s">
        <v>515</v>
      </c>
      <c r="E116" s="6" t="s">
        <v>516</v>
      </c>
      <c r="F116" s="6"/>
      <c r="G116" s="6"/>
      <c r="H116" s="6">
        <v>0</v>
      </c>
      <c r="I116" s="6">
        <v>0</v>
      </c>
      <c r="J116" s="6">
        <v>0</v>
      </c>
      <c r="K116" s="6" t="s">
        <v>874</v>
      </c>
      <c r="L116" s="7" t="s">
        <v>874</v>
      </c>
      <c r="M116" s="7" t="s">
        <v>879</v>
      </c>
      <c r="N116" s="6" t="s">
        <v>838</v>
      </c>
      <c r="O116" s="19"/>
      <c r="P116" s="15">
        <f t="shared" si="5"/>
        <v>366.96475306122454</v>
      </c>
      <c r="Q116" s="15">
        <v>399261</v>
      </c>
      <c r="R116" s="15">
        <v>3187312</v>
      </c>
      <c r="S116" s="15">
        <v>6057396.5</v>
      </c>
      <c r="T116" s="15">
        <v>3737398.5</v>
      </c>
      <c r="U116" s="15">
        <v>3968495.7142857146</v>
      </c>
      <c r="V116" s="15">
        <v>4151466</v>
      </c>
      <c r="W116" s="15">
        <v>4186203</v>
      </c>
    </row>
    <row r="117" spans="1:23" x14ac:dyDescent="0.3">
      <c r="A117" s="6">
        <v>721</v>
      </c>
      <c r="B117" s="6" t="s">
        <v>115</v>
      </c>
      <c r="C117" s="6" t="s">
        <v>554</v>
      </c>
      <c r="D117" s="6" t="s">
        <v>517</v>
      </c>
      <c r="E117" s="6" t="s">
        <v>518</v>
      </c>
      <c r="F117" s="6"/>
      <c r="G117" s="6"/>
      <c r="H117" s="6">
        <v>0</v>
      </c>
      <c r="I117" s="6">
        <v>0</v>
      </c>
      <c r="J117" s="6">
        <v>0</v>
      </c>
      <c r="K117" s="6" t="s">
        <v>855</v>
      </c>
      <c r="L117" s="6" t="s">
        <v>855</v>
      </c>
      <c r="M117" s="6" t="s">
        <v>856</v>
      </c>
      <c r="N117" s="6" t="s">
        <v>838</v>
      </c>
      <c r="O117" s="19"/>
      <c r="P117" s="15">
        <f t="shared" si="5"/>
        <v>15.293807527151195</v>
      </c>
      <c r="Q117" s="15">
        <v>74053</v>
      </c>
      <c r="R117" s="15">
        <v>120406</v>
      </c>
      <c r="S117" s="15">
        <v>129989</v>
      </c>
      <c r="T117" s="15">
        <v>169082</v>
      </c>
      <c r="U117" s="15">
        <v>192229</v>
      </c>
      <c r="V117" s="15">
        <v>196058.75</v>
      </c>
      <c r="W117" s="15">
        <v>188748.77690058365</v>
      </c>
    </row>
    <row r="118" spans="1:23" x14ac:dyDescent="0.3">
      <c r="A118" s="6">
        <v>722</v>
      </c>
      <c r="B118" s="6" t="s">
        <v>116</v>
      </c>
      <c r="C118" s="6" t="s">
        <v>555</v>
      </c>
      <c r="D118" s="6" t="s">
        <v>519</v>
      </c>
      <c r="E118" s="6" t="s">
        <v>520</v>
      </c>
      <c r="F118" s="6"/>
      <c r="G118" s="6"/>
      <c r="H118" s="6">
        <v>0</v>
      </c>
      <c r="I118" s="6">
        <v>0</v>
      </c>
      <c r="J118" s="6">
        <v>0</v>
      </c>
      <c r="K118" s="7" t="s">
        <v>873</v>
      </c>
      <c r="L118" s="7" t="s">
        <v>873</v>
      </c>
      <c r="M118" s="7" t="s">
        <v>873</v>
      </c>
      <c r="N118" s="6" t="s">
        <v>838</v>
      </c>
      <c r="O118" s="19" t="s">
        <v>178</v>
      </c>
      <c r="P118" s="15">
        <f t="shared" si="5"/>
        <v>24.959292857142859</v>
      </c>
      <c r="Q118" s="15">
        <v>142617</v>
      </c>
      <c r="R118" s="15">
        <v>268241</v>
      </c>
      <c r="S118" s="15">
        <v>264771</v>
      </c>
      <c r="T118" s="15">
        <v>270634.5</v>
      </c>
      <c r="U118" s="15">
        <v>276869.5</v>
      </c>
      <c r="V118" s="15">
        <v>253248</v>
      </c>
      <c r="W118" s="15">
        <v>270769.5</v>
      </c>
    </row>
    <row r="119" spans="1:23" x14ac:dyDescent="0.3">
      <c r="A119" s="6">
        <v>723</v>
      </c>
      <c r="B119" s="6" t="s">
        <v>477</v>
      </c>
      <c r="C119" s="6" t="s">
        <v>556</v>
      </c>
      <c r="D119" s="6" t="s">
        <v>521</v>
      </c>
      <c r="E119" s="6" t="s">
        <v>522</v>
      </c>
      <c r="F119" s="6">
        <v>2023</v>
      </c>
      <c r="G119" s="6"/>
      <c r="H119" s="6">
        <v>0</v>
      </c>
      <c r="I119" s="6">
        <v>0</v>
      </c>
      <c r="J119" s="6">
        <v>0</v>
      </c>
      <c r="K119" s="7" t="s">
        <v>873</v>
      </c>
      <c r="L119" s="7" t="s">
        <v>873</v>
      </c>
      <c r="M119" s="7" t="s">
        <v>873</v>
      </c>
      <c r="N119" s="6" t="s">
        <v>838</v>
      </c>
      <c r="O119" s="19" t="s">
        <v>178</v>
      </c>
      <c r="P119" s="15">
        <f t="shared" si="5"/>
        <v>109.44606809747343</v>
      </c>
      <c r="Q119" s="15">
        <v>0</v>
      </c>
      <c r="R119" s="15">
        <v>0</v>
      </c>
      <c r="S119" s="15">
        <v>0</v>
      </c>
      <c r="T119" s="15">
        <v>0</v>
      </c>
      <c r="U119" s="15">
        <v>985632.16431924491</v>
      </c>
      <c r="V119" s="15">
        <v>1112471.1643192449</v>
      </c>
      <c r="W119" s="15">
        <v>1185278.7142857129</v>
      </c>
    </row>
    <row r="120" spans="1:23" x14ac:dyDescent="0.3">
      <c r="A120" s="6">
        <v>724</v>
      </c>
      <c r="B120" s="6" t="s">
        <v>205</v>
      </c>
      <c r="C120" s="6" t="s">
        <v>557</v>
      </c>
      <c r="D120" s="6" t="s">
        <v>523</v>
      </c>
      <c r="E120" s="6" t="s">
        <v>524</v>
      </c>
      <c r="F120" s="6">
        <v>2023</v>
      </c>
      <c r="G120" s="6"/>
      <c r="H120" s="6">
        <v>0</v>
      </c>
      <c r="I120" s="6">
        <v>0</v>
      </c>
      <c r="J120" s="6">
        <v>0</v>
      </c>
      <c r="K120" s="7" t="s">
        <v>873</v>
      </c>
      <c r="L120" s="7" t="s">
        <v>873</v>
      </c>
      <c r="M120" s="7" t="s">
        <v>873</v>
      </c>
      <c r="N120" s="6" t="s">
        <v>838</v>
      </c>
      <c r="O120" s="19" t="s">
        <v>178</v>
      </c>
      <c r="P120" s="15">
        <f t="shared" si="5"/>
        <v>219.86875739887361</v>
      </c>
      <c r="Q120" s="15">
        <v>0</v>
      </c>
      <c r="R120" s="15">
        <v>0</v>
      </c>
      <c r="S120" s="15">
        <v>0</v>
      </c>
      <c r="T120" s="15">
        <v>0</v>
      </c>
      <c r="U120" s="15">
        <v>2360110.0833333349</v>
      </c>
      <c r="V120" s="15">
        <v>2225717.5833333349</v>
      </c>
      <c r="W120" s="15">
        <v>2010235.0552995396</v>
      </c>
    </row>
    <row r="121" spans="1:23" x14ac:dyDescent="0.3">
      <c r="A121" s="6">
        <v>725</v>
      </c>
      <c r="B121" s="9" t="s">
        <v>164</v>
      </c>
      <c r="C121" s="9" t="s">
        <v>166</v>
      </c>
      <c r="D121" s="9" t="s">
        <v>166</v>
      </c>
      <c r="E121" s="9" t="s">
        <v>525</v>
      </c>
      <c r="F121" s="9"/>
      <c r="G121" s="9"/>
      <c r="H121" s="9">
        <v>0</v>
      </c>
      <c r="I121" s="9">
        <v>0</v>
      </c>
      <c r="J121" s="9">
        <v>1</v>
      </c>
      <c r="K121" s="9"/>
      <c r="L121" s="6"/>
      <c r="M121" s="6"/>
      <c r="N121" s="6"/>
      <c r="O121" s="19" t="s">
        <v>178</v>
      </c>
      <c r="P121" s="15">
        <f t="shared" si="5"/>
        <v>96.480297069648927</v>
      </c>
      <c r="Q121" s="15">
        <v>0</v>
      </c>
      <c r="R121" s="15">
        <v>172370</v>
      </c>
      <c r="S121" s="15">
        <v>573511.1862464156</v>
      </c>
      <c r="T121" s="15">
        <v>795117.47989720874</v>
      </c>
      <c r="U121" s="15">
        <v>1227935</v>
      </c>
      <c r="V121" s="15">
        <v>1448611.0426506975</v>
      </c>
      <c r="W121" s="15">
        <v>1571273.1153846141</v>
      </c>
    </row>
    <row r="122" spans="1:23" x14ac:dyDescent="0.3">
      <c r="A122" s="6">
        <v>730</v>
      </c>
      <c r="B122" s="9" t="s">
        <v>165</v>
      </c>
      <c r="C122" s="9" t="s">
        <v>558</v>
      </c>
      <c r="D122" s="9" t="s">
        <v>526</v>
      </c>
      <c r="E122" s="9" t="s">
        <v>527</v>
      </c>
      <c r="F122" s="9"/>
      <c r="G122" s="9"/>
      <c r="H122" s="9">
        <v>0</v>
      </c>
      <c r="I122" s="9">
        <v>0</v>
      </c>
      <c r="J122" s="9">
        <v>1</v>
      </c>
      <c r="K122" s="7" t="s">
        <v>182</v>
      </c>
      <c r="L122" s="7" t="s">
        <v>191</v>
      </c>
      <c r="M122" s="7" t="s">
        <v>861</v>
      </c>
      <c r="N122" s="6" t="s">
        <v>838</v>
      </c>
      <c r="O122" s="19"/>
      <c r="P122" s="15">
        <f t="shared" si="5"/>
        <v>71.162714341773736</v>
      </c>
      <c r="Q122" s="15">
        <v>46592</v>
      </c>
      <c r="R122" s="15">
        <v>0</v>
      </c>
      <c r="S122" s="15">
        <v>4211654.3605064237</v>
      </c>
      <c r="T122" s="15">
        <v>2171</v>
      </c>
      <c r="U122" s="15">
        <v>2156.5</v>
      </c>
      <c r="V122" s="15">
        <v>4669</v>
      </c>
      <c r="W122" s="15">
        <v>2520</v>
      </c>
    </row>
    <row r="123" spans="1:23" x14ac:dyDescent="0.3">
      <c r="A123" s="6">
        <v>731</v>
      </c>
      <c r="B123" s="6" t="s">
        <v>117</v>
      </c>
      <c r="C123" s="6" t="s">
        <v>559</v>
      </c>
      <c r="D123" s="6" t="s">
        <v>528</v>
      </c>
      <c r="E123" s="6" t="s">
        <v>529</v>
      </c>
      <c r="F123" s="6"/>
      <c r="G123" s="6"/>
      <c r="H123" s="6">
        <v>0</v>
      </c>
      <c r="I123" s="6">
        <v>0</v>
      </c>
      <c r="J123" s="6">
        <v>1</v>
      </c>
      <c r="K123" s="7" t="s">
        <v>182</v>
      </c>
      <c r="L123" s="7" t="s">
        <v>191</v>
      </c>
      <c r="M123" s="7" t="s">
        <v>861</v>
      </c>
      <c r="N123" s="6" t="s">
        <v>838</v>
      </c>
      <c r="O123" s="19"/>
      <c r="P123" s="15">
        <f t="shared" si="5"/>
        <v>171.85456626797492</v>
      </c>
      <c r="Q123" s="15">
        <v>1323445.8083994307</v>
      </c>
      <c r="R123" s="15">
        <v>1608307.3333333335</v>
      </c>
      <c r="S123" s="15">
        <v>1256007.6281588422</v>
      </c>
      <c r="T123" s="15">
        <v>1346486.4946755557</v>
      </c>
      <c r="U123" s="15">
        <v>1952322.8950506847</v>
      </c>
      <c r="V123" s="15">
        <v>2176853.0252942457</v>
      </c>
      <c r="W123" s="15">
        <v>2366396.4538461529</v>
      </c>
    </row>
    <row r="124" spans="1:23" x14ac:dyDescent="0.3">
      <c r="A124" s="6">
        <v>735</v>
      </c>
      <c r="B124" s="6" t="s">
        <v>118</v>
      </c>
      <c r="C124" s="6" t="s">
        <v>560</v>
      </c>
      <c r="D124" s="6" t="s">
        <v>530</v>
      </c>
      <c r="E124" s="6" t="s">
        <v>531</v>
      </c>
      <c r="F124" s="6"/>
      <c r="G124" s="6"/>
      <c r="H124" s="6">
        <v>0</v>
      </c>
      <c r="I124" s="6">
        <v>1</v>
      </c>
      <c r="J124" s="6">
        <v>1</v>
      </c>
      <c r="K124" s="17" t="s">
        <v>92</v>
      </c>
      <c r="L124" s="7" t="s">
        <v>92</v>
      </c>
      <c r="M124" s="7" t="s">
        <v>861</v>
      </c>
      <c r="N124" s="6" t="s">
        <v>838</v>
      </c>
      <c r="O124" s="19"/>
      <c r="P124" s="15">
        <f t="shared" si="5"/>
        <v>25.471150000000002</v>
      </c>
      <c r="Q124" s="15">
        <v>48383.5</v>
      </c>
      <c r="R124" s="15">
        <v>333631.5</v>
      </c>
      <c r="S124" s="15">
        <v>322273</v>
      </c>
      <c r="T124" s="15">
        <v>269433.5</v>
      </c>
      <c r="U124" s="15">
        <v>276400.5</v>
      </c>
      <c r="V124" s="15">
        <v>274988</v>
      </c>
      <c r="W124" s="15">
        <v>257870.5</v>
      </c>
    </row>
    <row r="125" spans="1:23" x14ac:dyDescent="0.3">
      <c r="A125" s="9">
        <v>750</v>
      </c>
      <c r="B125" s="9" t="s">
        <v>167</v>
      </c>
      <c r="C125" s="9" t="s">
        <v>561</v>
      </c>
      <c r="D125" s="9" t="s">
        <v>532</v>
      </c>
      <c r="E125" s="9" t="s">
        <v>533</v>
      </c>
      <c r="F125" s="9"/>
      <c r="G125" s="9"/>
      <c r="H125" s="9">
        <v>0</v>
      </c>
      <c r="I125" s="9">
        <v>0</v>
      </c>
      <c r="J125" s="9">
        <v>0</v>
      </c>
      <c r="K125" s="17"/>
      <c r="L125" s="7"/>
      <c r="M125" s="7"/>
      <c r="N125" s="6"/>
      <c r="O125" s="19" t="s">
        <v>178</v>
      </c>
      <c r="P125" s="15">
        <f t="shared" si="5"/>
        <v>161.9264045059972</v>
      </c>
      <c r="Q125" s="15">
        <v>0</v>
      </c>
      <c r="R125" s="15">
        <v>0</v>
      </c>
      <c r="S125" s="15">
        <v>3238106.090119944</v>
      </c>
      <c r="T125" s="15">
        <v>422</v>
      </c>
      <c r="U125" s="15">
        <v>0</v>
      </c>
      <c r="V125" s="15">
        <v>0</v>
      </c>
      <c r="W125" s="15">
        <v>0</v>
      </c>
    </row>
    <row r="126" spans="1:23" x14ac:dyDescent="0.3">
      <c r="A126" s="10">
        <v>760</v>
      </c>
      <c r="B126" s="11" t="s">
        <v>478</v>
      </c>
      <c r="C126" s="11" t="s">
        <v>562</v>
      </c>
      <c r="D126" s="11" t="s">
        <v>534</v>
      </c>
      <c r="E126" s="11" t="s">
        <v>535</v>
      </c>
      <c r="F126" s="11"/>
      <c r="G126" s="11">
        <v>2022</v>
      </c>
      <c r="H126" s="11">
        <v>0</v>
      </c>
      <c r="I126" s="11">
        <v>0</v>
      </c>
      <c r="J126" s="11">
        <v>0</v>
      </c>
      <c r="K126" s="11"/>
      <c r="L126" s="11"/>
      <c r="M126" s="11"/>
      <c r="N126" s="10"/>
      <c r="O126" s="21" t="s">
        <v>178</v>
      </c>
      <c r="P126" s="15">
        <f t="shared" si="5"/>
        <v>0</v>
      </c>
      <c r="Q126" s="15"/>
      <c r="R126" s="15"/>
      <c r="S126" s="15"/>
      <c r="T126" s="15"/>
      <c r="U126" s="15"/>
      <c r="V126" s="15"/>
      <c r="W126" s="15"/>
    </row>
    <row r="127" spans="1:23" x14ac:dyDescent="0.3">
      <c r="A127" s="6">
        <v>797</v>
      </c>
      <c r="B127" s="6" t="s">
        <v>119</v>
      </c>
      <c r="C127" s="6" t="s">
        <v>563</v>
      </c>
      <c r="D127" s="6" t="s">
        <v>536</v>
      </c>
      <c r="E127" s="6" t="s">
        <v>537</v>
      </c>
      <c r="F127" s="6"/>
      <c r="G127" s="6"/>
      <c r="H127" s="6">
        <v>0</v>
      </c>
      <c r="I127" s="6">
        <v>0</v>
      </c>
      <c r="J127" s="6">
        <v>0</v>
      </c>
      <c r="K127" s="17"/>
      <c r="L127" s="7"/>
      <c r="M127" s="7"/>
      <c r="N127" s="6"/>
      <c r="O127" s="19" t="s">
        <v>178</v>
      </c>
      <c r="P127" s="15">
        <f t="shared" si="5"/>
        <v>49.199183174141851</v>
      </c>
      <c r="Q127" s="15">
        <v>294411</v>
      </c>
      <c r="R127" s="15">
        <v>396211.5</v>
      </c>
      <c r="S127" s="15">
        <v>713601</v>
      </c>
      <c r="T127" s="15">
        <v>702457.32218992955</v>
      </c>
      <c r="U127" s="15">
        <v>429603</v>
      </c>
      <c r="V127" s="15">
        <v>469874.5</v>
      </c>
      <c r="W127" s="15">
        <v>437784.5</v>
      </c>
    </row>
    <row r="128" spans="1:23" x14ac:dyDescent="0.3">
      <c r="A128" s="6">
        <v>798</v>
      </c>
      <c r="B128" s="6" t="s">
        <v>120</v>
      </c>
      <c r="C128" s="6" t="s">
        <v>564</v>
      </c>
      <c r="D128" s="6" t="s">
        <v>538</v>
      </c>
      <c r="E128" s="6" t="s">
        <v>539</v>
      </c>
      <c r="F128" s="6"/>
      <c r="G128" s="6"/>
      <c r="H128" s="6">
        <v>0</v>
      </c>
      <c r="I128" s="6">
        <v>0</v>
      </c>
      <c r="J128" s="6">
        <v>0</v>
      </c>
      <c r="K128" s="17"/>
      <c r="L128" s="7"/>
      <c r="M128" s="7"/>
      <c r="N128" s="6"/>
      <c r="O128" s="19" t="s">
        <v>178</v>
      </c>
      <c r="P128" s="15">
        <f t="shared" si="5"/>
        <v>19.582342857142859</v>
      </c>
      <c r="Q128" s="15">
        <v>212704.5</v>
      </c>
      <c r="R128" s="15">
        <v>276931.5</v>
      </c>
      <c r="S128" s="15">
        <v>130675</v>
      </c>
      <c r="T128" s="15">
        <v>96598.5</v>
      </c>
      <c r="U128" s="15">
        <v>236334</v>
      </c>
      <c r="V128" s="15">
        <v>213837</v>
      </c>
      <c r="W128" s="15">
        <v>203683.5</v>
      </c>
    </row>
    <row r="129" spans="1:23" x14ac:dyDescent="0.3">
      <c r="A129" s="6">
        <v>801</v>
      </c>
      <c r="B129" s="6" t="s">
        <v>121</v>
      </c>
      <c r="C129" s="6" t="s">
        <v>618</v>
      </c>
      <c r="D129" s="6" t="s">
        <v>573</v>
      </c>
      <c r="E129" s="6" t="s">
        <v>574</v>
      </c>
      <c r="F129" s="6"/>
      <c r="G129" s="6"/>
      <c r="H129" s="6">
        <v>0</v>
      </c>
      <c r="I129" s="6">
        <v>0</v>
      </c>
      <c r="J129" s="6">
        <v>1</v>
      </c>
      <c r="K129" s="6" t="s">
        <v>150</v>
      </c>
      <c r="L129" s="6" t="s">
        <v>150</v>
      </c>
      <c r="M129" s="6" t="s">
        <v>150</v>
      </c>
      <c r="N129" s="7" t="s">
        <v>838</v>
      </c>
      <c r="O129" s="19"/>
      <c r="P129" s="15">
        <f t="shared" si="5"/>
        <v>203.28376428571428</v>
      </c>
      <c r="Q129" s="15">
        <v>1744839.5</v>
      </c>
      <c r="R129" s="15">
        <v>1975358.5</v>
      </c>
      <c r="S129" s="15">
        <v>2124860.5</v>
      </c>
      <c r="T129" s="15">
        <v>1927768.5</v>
      </c>
      <c r="U129" s="15">
        <v>2173925</v>
      </c>
      <c r="V129" s="15">
        <v>2148117.5</v>
      </c>
      <c r="W129" s="15">
        <v>2134994</v>
      </c>
    </row>
    <row r="130" spans="1:23" x14ac:dyDescent="0.3">
      <c r="A130" s="6">
        <v>802</v>
      </c>
      <c r="B130" s="6" t="s">
        <v>122</v>
      </c>
      <c r="C130" s="6" t="s">
        <v>619</v>
      </c>
      <c r="D130" s="6" t="s">
        <v>575</v>
      </c>
      <c r="E130" s="6" t="s">
        <v>576</v>
      </c>
      <c r="F130" s="6"/>
      <c r="G130" s="6"/>
      <c r="H130" s="6">
        <v>0</v>
      </c>
      <c r="I130" s="6">
        <v>0</v>
      </c>
      <c r="J130" s="6">
        <v>1</v>
      </c>
      <c r="K130" s="6" t="s">
        <v>150</v>
      </c>
      <c r="L130" s="6" t="s">
        <v>150</v>
      </c>
      <c r="M130" s="6" t="s">
        <v>150</v>
      </c>
      <c r="N130" s="7" t="s">
        <v>838</v>
      </c>
      <c r="O130" s="19"/>
      <c r="P130" s="15">
        <f t="shared" si="5"/>
        <v>25.946994374537301</v>
      </c>
      <c r="Q130" s="15">
        <v>284775</v>
      </c>
      <c r="R130" s="15">
        <v>307317.60103626852</v>
      </c>
      <c r="S130" s="15">
        <v>256776.10103626852</v>
      </c>
      <c r="T130" s="15">
        <v>149837.10103626852</v>
      </c>
      <c r="U130" s="15">
        <v>314656.60103626852</v>
      </c>
      <c r="V130" s="15">
        <v>218261.60103626852</v>
      </c>
      <c r="W130" s="15">
        <v>284665.60103626852</v>
      </c>
    </row>
    <row r="131" spans="1:23" x14ac:dyDescent="0.3">
      <c r="A131" s="6">
        <v>803</v>
      </c>
      <c r="B131" s="6" t="s">
        <v>207</v>
      </c>
      <c r="C131" s="6" t="s">
        <v>620</v>
      </c>
      <c r="D131" s="6" t="s">
        <v>577</v>
      </c>
      <c r="E131" s="6" t="s">
        <v>578</v>
      </c>
      <c r="F131" s="6"/>
      <c r="G131" s="6"/>
      <c r="H131" s="6">
        <v>0</v>
      </c>
      <c r="I131" s="6">
        <v>0</v>
      </c>
      <c r="J131" s="6">
        <v>0</v>
      </c>
      <c r="K131" s="6" t="s">
        <v>150</v>
      </c>
      <c r="L131" s="6" t="s">
        <v>150</v>
      </c>
      <c r="M131" s="6" t="s">
        <v>150</v>
      </c>
      <c r="N131" s="7" t="s">
        <v>838</v>
      </c>
      <c r="O131" s="19"/>
      <c r="P131" s="15">
        <f t="shared" si="5"/>
        <v>25.562692857142856</v>
      </c>
      <c r="Q131" s="15">
        <v>129196</v>
      </c>
      <c r="R131" s="15">
        <v>165722</v>
      </c>
      <c r="S131" s="15">
        <v>253367.5</v>
      </c>
      <c r="T131" s="15">
        <v>364182.5</v>
      </c>
      <c r="U131" s="15">
        <v>279738</v>
      </c>
      <c r="V131" s="15">
        <v>302069</v>
      </c>
      <c r="W131" s="15">
        <v>295113.5</v>
      </c>
    </row>
    <row r="132" spans="1:23" x14ac:dyDescent="0.3">
      <c r="A132" s="6">
        <v>804</v>
      </c>
      <c r="B132" s="6" t="s">
        <v>206</v>
      </c>
      <c r="C132" s="6" t="s">
        <v>621</v>
      </c>
      <c r="D132" s="6" t="s">
        <v>579</v>
      </c>
      <c r="E132" s="6" t="s">
        <v>580</v>
      </c>
      <c r="F132" s="6">
        <v>2023</v>
      </c>
      <c r="G132" s="6"/>
      <c r="H132" s="6">
        <v>0</v>
      </c>
      <c r="I132" s="6">
        <v>0</v>
      </c>
      <c r="J132" s="6">
        <v>1</v>
      </c>
      <c r="K132" s="6" t="s">
        <v>150</v>
      </c>
      <c r="L132" s="6" t="s">
        <v>150</v>
      </c>
      <c r="M132" s="6" t="s">
        <v>150</v>
      </c>
      <c r="N132" s="7" t="s">
        <v>838</v>
      </c>
      <c r="O132" s="19"/>
      <c r="P132" s="15">
        <f t="shared" si="5"/>
        <v>2.1191166666666668</v>
      </c>
      <c r="Q132" s="15">
        <v>0</v>
      </c>
      <c r="R132" s="15">
        <v>0</v>
      </c>
      <c r="S132" s="15">
        <v>0</v>
      </c>
      <c r="T132" s="15">
        <v>0</v>
      </c>
      <c r="U132" s="15">
        <v>7977</v>
      </c>
      <c r="V132" s="15">
        <v>27354</v>
      </c>
      <c r="W132" s="15">
        <v>28242.5</v>
      </c>
    </row>
    <row r="133" spans="1:23" x14ac:dyDescent="0.3">
      <c r="A133" s="6">
        <v>806</v>
      </c>
      <c r="B133" s="6" t="s">
        <v>123</v>
      </c>
      <c r="C133" s="6" t="s">
        <v>622</v>
      </c>
      <c r="D133" s="6" t="s">
        <v>581</v>
      </c>
      <c r="E133" s="6" t="s">
        <v>582</v>
      </c>
      <c r="F133" s="6"/>
      <c r="G133" s="6">
        <v>2022</v>
      </c>
      <c r="H133" s="6">
        <v>0</v>
      </c>
      <c r="I133" s="6">
        <v>0</v>
      </c>
      <c r="J133" s="6">
        <v>1</v>
      </c>
      <c r="K133" s="6" t="s">
        <v>150</v>
      </c>
      <c r="L133" s="6" t="s">
        <v>150</v>
      </c>
      <c r="M133" s="6" t="s">
        <v>150</v>
      </c>
      <c r="N133" s="7" t="s">
        <v>838</v>
      </c>
      <c r="O133" s="19"/>
      <c r="P133" s="15">
        <f t="shared" si="5"/>
        <v>203.79461518161781</v>
      </c>
      <c r="Q133" s="15">
        <v>1730194.8106060624</v>
      </c>
      <c r="R133" s="15">
        <v>2364740.8867650032</v>
      </c>
      <c r="S133" s="15">
        <v>2209478.2049468234</v>
      </c>
      <c r="T133" s="15">
        <v>1847370.7049468237</v>
      </c>
      <c r="U133" s="15">
        <v>0</v>
      </c>
      <c r="V133" s="15">
        <v>0</v>
      </c>
      <c r="W133" s="15">
        <v>0</v>
      </c>
    </row>
    <row r="134" spans="1:23" x14ac:dyDescent="0.3">
      <c r="A134" s="6">
        <v>807</v>
      </c>
      <c r="B134" s="6" t="s">
        <v>124</v>
      </c>
      <c r="C134" s="6" t="s">
        <v>623</v>
      </c>
      <c r="D134" s="6" t="s">
        <v>583</v>
      </c>
      <c r="E134" s="6" t="s">
        <v>584</v>
      </c>
      <c r="F134" s="6"/>
      <c r="G134" s="6"/>
      <c r="H134" s="6">
        <v>0</v>
      </c>
      <c r="I134" s="6">
        <v>0</v>
      </c>
      <c r="J134" s="6">
        <v>1</v>
      </c>
      <c r="K134" s="6" t="s">
        <v>150</v>
      </c>
      <c r="L134" s="6" t="s">
        <v>150</v>
      </c>
      <c r="M134" s="6" t="s">
        <v>150</v>
      </c>
      <c r="N134" s="7" t="s">
        <v>838</v>
      </c>
      <c r="O134" s="19"/>
      <c r="P134" s="15">
        <f t="shared" si="5"/>
        <v>56.074658848559451</v>
      </c>
      <c r="Q134" s="15">
        <v>644662.5</v>
      </c>
      <c r="R134" s="15">
        <v>714949.51500356244</v>
      </c>
      <c r="S134" s="15">
        <v>575915</v>
      </c>
      <c r="T134" s="15">
        <v>530542</v>
      </c>
      <c r="U134" s="15">
        <v>605706</v>
      </c>
      <c r="V134" s="15">
        <v>425885</v>
      </c>
      <c r="W134" s="15">
        <v>427566.10439559841</v>
      </c>
    </row>
    <row r="135" spans="1:23" x14ac:dyDescent="0.3">
      <c r="A135" s="6">
        <v>808</v>
      </c>
      <c r="B135" s="6" t="s">
        <v>125</v>
      </c>
      <c r="C135" s="6" t="s">
        <v>624</v>
      </c>
      <c r="D135" s="6" t="s">
        <v>585</v>
      </c>
      <c r="E135" s="6" t="s">
        <v>586</v>
      </c>
      <c r="F135" s="6"/>
      <c r="G135" s="6"/>
      <c r="H135" s="6">
        <v>0</v>
      </c>
      <c r="I135" s="6">
        <v>0</v>
      </c>
      <c r="J135" s="6">
        <v>0</v>
      </c>
      <c r="K135" s="6" t="s">
        <v>150</v>
      </c>
      <c r="L135" s="6" t="s">
        <v>150</v>
      </c>
      <c r="M135" s="6" t="s">
        <v>150</v>
      </c>
      <c r="N135" s="7" t="s">
        <v>838</v>
      </c>
      <c r="O135" s="19"/>
      <c r="P135" s="15">
        <f t="shared" si="5"/>
        <v>26.958665824175831</v>
      </c>
      <c r="Q135" s="15">
        <v>223959.5</v>
      </c>
      <c r="R135" s="15">
        <v>289036.60769230814</v>
      </c>
      <c r="S135" s="15">
        <v>405120.5</v>
      </c>
      <c r="T135" s="15">
        <v>297067.5</v>
      </c>
      <c r="U135" s="15">
        <v>221560.5</v>
      </c>
      <c r="V135" s="15">
        <v>222375</v>
      </c>
      <c r="W135" s="15">
        <v>227987</v>
      </c>
    </row>
    <row r="136" spans="1:23" x14ac:dyDescent="0.3">
      <c r="A136" s="6">
        <v>810</v>
      </c>
      <c r="B136" s="9" t="s">
        <v>168</v>
      </c>
      <c r="C136" s="9" t="s">
        <v>625</v>
      </c>
      <c r="D136" s="9" t="s">
        <v>587</v>
      </c>
      <c r="E136" s="9" t="s">
        <v>588</v>
      </c>
      <c r="F136" s="9"/>
      <c r="G136" s="9"/>
      <c r="H136" s="9">
        <v>0</v>
      </c>
      <c r="I136" s="9">
        <v>0</v>
      </c>
      <c r="J136" s="9">
        <v>1</v>
      </c>
      <c r="K136" s="6" t="s">
        <v>150</v>
      </c>
      <c r="L136" s="6" t="s">
        <v>150</v>
      </c>
      <c r="M136" s="6" t="s">
        <v>150</v>
      </c>
      <c r="N136" s="7" t="s">
        <v>838</v>
      </c>
      <c r="O136" s="19"/>
      <c r="P136" s="15">
        <f t="shared" si="5"/>
        <v>0.33804285714285714</v>
      </c>
      <c r="Q136" s="15">
        <v>964.5</v>
      </c>
      <c r="R136" s="15">
        <v>970</v>
      </c>
      <c r="S136" s="15">
        <v>960</v>
      </c>
      <c r="T136" s="15">
        <v>960</v>
      </c>
      <c r="U136" s="15">
        <v>964</v>
      </c>
      <c r="V136" s="15">
        <v>17865</v>
      </c>
      <c r="W136" s="15">
        <v>979.5</v>
      </c>
    </row>
    <row r="137" spans="1:23" x14ac:dyDescent="0.3">
      <c r="A137" s="6">
        <v>811</v>
      </c>
      <c r="B137" s="6" t="s">
        <v>565</v>
      </c>
      <c r="C137" s="6" t="s">
        <v>626</v>
      </c>
      <c r="D137" s="6" t="s">
        <v>589</v>
      </c>
      <c r="E137" s="6" t="s">
        <v>590</v>
      </c>
      <c r="F137" s="6">
        <v>2023</v>
      </c>
      <c r="G137" s="6"/>
      <c r="H137" s="6">
        <v>0</v>
      </c>
      <c r="I137" s="6">
        <v>0</v>
      </c>
      <c r="J137" s="6">
        <v>1</v>
      </c>
      <c r="K137" s="6" t="s">
        <v>150</v>
      </c>
      <c r="L137" s="6" t="s">
        <v>150</v>
      </c>
      <c r="M137" s="6" t="s">
        <v>150</v>
      </c>
      <c r="N137" s="7" t="s">
        <v>838</v>
      </c>
      <c r="O137" s="19"/>
      <c r="P137" s="15">
        <f t="shared" si="5"/>
        <v>215.27259789981153</v>
      </c>
      <c r="Q137" s="15">
        <v>0</v>
      </c>
      <c r="R137" s="15">
        <v>0</v>
      </c>
      <c r="S137" s="15">
        <v>0</v>
      </c>
      <c r="T137" s="15">
        <v>0</v>
      </c>
      <c r="U137" s="15">
        <v>2165592.6367650032</v>
      </c>
      <c r="V137" s="15">
        <v>2108223.0606060624</v>
      </c>
      <c r="W137" s="15">
        <v>2184362.2396232802</v>
      </c>
    </row>
    <row r="138" spans="1:23" x14ac:dyDescent="0.3">
      <c r="A138" s="6">
        <v>812</v>
      </c>
      <c r="B138" s="6" t="s">
        <v>566</v>
      </c>
      <c r="C138" s="6" t="s">
        <v>627</v>
      </c>
      <c r="D138" s="6" t="s">
        <v>591</v>
      </c>
      <c r="E138" s="6" t="s">
        <v>592</v>
      </c>
      <c r="F138" s="6">
        <v>2023</v>
      </c>
      <c r="G138" s="6"/>
      <c r="H138" s="6">
        <v>0</v>
      </c>
      <c r="I138" s="6">
        <v>0</v>
      </c>
      <c r="J138" s="6">
        <v>1</v>
      </c>
      <c r="K138" s="6" t="s">
        <v>150</v>
      </c>
      <c r="L138" s="6" t="s">
        <v>150</v>
      </c>
      <c r="M138" s="6" t="s">
        <v>150</v>
      </c>
      <c r="N138" s="7" t="s">
        <v>838</v>
      </c>
      <c r="O138" s="19"/>
      <c r="P138" s="15">
        <f t="shared" si="5"/>
        <v>5.3428166666666668</v>
      </c>
      <c r="Q138" s="15">
        <v>0</v>
      </c>
      <c r="R138" s="15">
        <v>0</v>
      </c>
      <c r="S138" s="15">
        <v>0</v>
      </c>
      <c r="T138" s="15">
        <v>0</v>
      </c>
      <c r="U138" s="15">
        <v>53459</v>
      </c>
      <c r="V138" s="15">
        <v>55667.5</v>
      </c>
      <c r="W138" s="15">
        <v>51158</v>
      </c>
    </row>
    <row r="139" spans="1:23" x14ac:dyDescent="0.3">
      <c r="A139" s="6">
        <v>813</v>
      </c>
      <c r="B139" s="6" t="s">
        <v>567</v>
      </c>
      <c r="C139" s="6" t="s">
        <v>628</v>
      </c>
      <c r="D139" s="6" t="s">
        <v>593</v>
      </c>
      <c r="E139" s="6" t="s">
        <v>594</v>
      </c>
      <c r="F139" s="6">
        <v>2023</v>
      </c>
      <c r="G139" s="6"/>
      <c r="H139" s="6">
        <v>0</v>
      </c>
      <c r="I139" s="6">
        <v>0</v>
      </c>
      <c r="J139" s="6">
        <v>1</v>
      </c>
      <c r="K139" s="6" t="s">
        <v>150</v>
      </c>
      <c r="L139" s="6" t="s">
        <v>150</v>
      </c>
      <c r="M139" s="6" t="s">
        <v>150</v>
      </c>
      <c r="N139" s="7" t="s">
        <v>838</v>
      </c>
      <c r="O139" s="19"/>
      <c r="P139" s="15">
        <f t="shared" si="5"/>
        <v>22.983483333333336</v>
      </c>
      <c r="Q139" s="15">
        <v>0</v>
      </c>
      <c r="R139" s="15">
        <v>0</v>
      </c>
      <c r="S139" s="15">
        <v>0</v>
      </c>
      <c r="T139" s="15">
        <v>0</v>
      </c>
      <c r="U139" s="15">
        <v>131797</v>
      </c>
      <c r="V139" s="15">
        <v>318734</v>
      </c>
      <c r="W139" s="15">
        <v>238973.5</v>
      </c>
    </row>
    <row r="140" spans="1:23" x14ac:dyDescent="0.3">
      <c r="A140" s="6">
        <v>814</v>
      </c>
      <c r="B140" s="6" t="s">
        <v>568</v>
      </c>
      <c r="C140" s="6" t="s">
        <v>629</v>
      </c>
      <c r="D140" s="6" t="s">
        <v>595</v>
      </c>
      <c r="E140" s="6" t="s">
        <v>596</v>
      </c>
      <c r="F140" s="6">
        <v>2023</v>
      </c>
      <c r="G140" s="6"/>
      <c r="H140" s="6">
        <v>0</v>
      </c>
      <c r="I140" s="6">
        <v>0</v>
      </c>
      <c r="J140" s="6">
        <v>1</v>
      </c>
      <c r="K140" s="6" t="s">
        <v>150</v>
      </c>
      <c r="L140" s="6" t="s">
        <v>150</v>
      </c>
      <c r="M140" s="6" t="s">
        <v>150</v>
      </c>
      <c r="N140" s="7" t="s">
        <v>838</v>
      </c>
      <c r="O140" s="19"/>
      <c r="P140" s="15">
        <f t="shared" si="5"/>
        <v>42.190766666666669</v>
      </c>
      <c r="Q140" s="15">
        <v>0</v>
      </c>
      <c r="R140" s="15">
        <v>0</v>
      </c>
      <c r="S140" s="15">
        <v>0</v>
      </c>
      <c r="T140" s="15">
        <v>0</v>
      </c>
      <c r="U140" s="15">
        <v>309470.5</v>
      </c>
      <c r="V140" s="15">
        <v>459729</v>
      </c>
      <c r="W140" s="15">
        <v>496523.5</v>
      </c>
    </row>
    <row r="141" spans="1:23" x14ac:dyDescent="0.3">
      <c r="A141" s="6">
        <v>830</v>
      </c>
      <c r="B141" s="9" t="s">
        <v>169</v>
      </c>
      <c r="C141" s="9" t="s">
        <v>630</v>
      </c>
      <c r="D141" s="9" t="s">
        <v>597</v>
      </c>
      <c r="E141" s="9" t="s">
        <v>598</v>
      </c>
      <c r="F141" s="9"/>
      <c r="G141" s="9"/>
      <c r="H141" s="9">
        <v>0</v>
      </c>
      <c r="I141" s="9">
        <v>0</v>
      </c>
      <c r="J141" s="9">
        <v>0</v>
      </c>
      <c r="K141" s="6" t="s">
        <v>150</v>
      </c>
      <c r="L141" s="6" t="s">
        <v>150</v>
      </c>
      <c r="M141" s="6" t="s">
        <v>150</v>
      </c>
      <c r="N141" s="7" t="s">
        <v>838</v>
      </c>
      <c r="O141" s="19"/>
      <c r="P141" s="15">
        <f t="shared" si="5"/>
        <v>23.37686419828934</v>
      </c>
      <c r="Q141" s="15">
        <v>0</v>
      </c>
      <c r="R141" s="15">
        <v>0</v>
      </c>
      <c r="S141" s="15">
        <v>919215.20991446706</v>
      </c>
      <c r="T141" s="15">
        <v>33576</v>
      </c>
      <c r="U141" s="15">
        <v>33140</v>
      </c>
      <c r="V141" s="15">
        <v>91064</v>
      </c>
      <c r="W141" s="15">
        <v>91848</v>
      </c>
    </row>
    <row r="142" spans="1:23" x14ac:dyDescent="0.3">
      <c r="A142" s="10">
        <v>840</v>
      </c>
      <c r="B142" s="11" t="s">
        <v>569</v>
      </c>
      <c r="C142" s="11" t="s">
        <v>631</v>
      </c>
      <c r="D142" s="11" t="s">
        <v>599</v>
      </c>
      <c r="E142" s="11" t="s">
        <v>600</v>
      </c>
      <c r="F142" s="11"/>
      <c r="G142" s="11">
        <v>2022</v>
      </c>
      <c r="H142" s="11">
        <v>0</v>
      </c>
      <c r="I142" s="11">
        <v>0</v>
      </c>
      <c r="J142" s="11">
        <v>0</v>
      </c>
      <c r="K142" s="6" t="s">
        <v>150</v>
      </c>
      <c r="L142" s="6" t="s">
        <v>150</v>
      </c>
      <c r="M142" s="6" t="s">
        <v>150</v>
      </c>
      <c r="N142" s="7" t="s">
        <v>838</v>
      </c>
      <c r="O142" s="21"/>
      <c r="P142" s="15">
        <f t="shared" si="5"/>
        <v>0</v>
      </c>
      <c r="Q142" s="15"/>
      <c r="R142" s="15"/>
      <c r="S142" s="15"/>
      <c r="T142" s="15"/>
      <c r="U142" s="15"/>
      <c r="V142" s="15"/>
      <c r="W142" s="15"/>
    </row>
    <row r="143" spans="1:23" x14ac:dyDescent="0.3">
      <c r="A143" s="6">
        <v>847</v>
      </c>
      <c r="B143" s="6" t="s">
        <v>126</v>
      </c>
      <c r="C143" s="6" t="s">
        <v>632</v>
      </c>
      <c r="D143" s="6" t="s">
        <v>601</v>
      </c>
      <c r="E143" s="6" t="s">
        <v>602</v>
      </c>
      <c r="F143" s="6"/>
      <c r="G143" s="6"/>
      <c r="H143" s="6">
        <v>0</v>
      </c>
      <c r="I143" s="6">
        <v>0</v>
      </c>
      <c r="J143" s="6">
        <v>0</v>
      </c>
      <c r="K143" s="6" t="s">
        <v>150</v>
      </c>
      <c r="L143" s="6" t="s">
        <v>150</v>
      </c>
      <c r="M143" s="6" t="s">
        <v>150</v>
      </c>
      <c r="N143" s="7" t="s">
        <v>838</v>
      </c>
      <c r="O143" s="19"/>
      <c r="P143" s="15">
        <f t="shared" si="5"/>
        <v>10.800421428571429</v>
      </c>
      <c r="Q143" s="15">
        <v>118884</v>
      </c>
      <c r="R143" s="15">
        <v>143408</v>
      </c>
      <c r="S143" s="15">
        <v>26828</v>
      </c>
      <c r="T143" s="15">
        <v>26929</v>
      </c>
      <c r="U143" s="15">
        <v>123439</v>
      </c>
      <c r="V143" s="15">
        <v>144201.5</v>
      </c>
      <c r="W143" s="15">
        <v>172340</v>
      </c>
    </row>
    <row r="144" spans="1:23" x14ac:dyDescent="0.3">
      <c r="A144" s="6">
        <v>848</v>
      </c>
      <c r="B144" s="6" t="s">
        <v>127</v>
      </c>
      <c r="C144" s="6" t="s">
        <v>633</v>
      </c>
      <c r="D144" s="6" t="s">
        <v>603</v>
      </c>
      <c r="E144" s="6" t="s">
        <v>604</v>
      </c>
      <c r="F144" s="6"/>
      <c r="G144" s="6"/>
      <c r="H144" s="6">
        <v>0</v>
      </c>
      <c r="I144" s="6">
        <v>0</v>
      </c>
      <c r="J144" s="6">
        <v>0</v>
      </c>
      <c r="K144" s="6" t="s">
        <v>150</v>
      </c>
      <c r="L144" s="6" t="s">
        <v>150</v>
      </c>
      <c r="M144" s="6" t="s">
        <v>150</v>
      </c>
      <c r="N144" s="7" t="s">
        <v>838</v>
      </c>
      <c r="O144" s="19"/>
      <c r="P144" s="15">
        <f t="shared" si="5"/>
        <v>4.9150642857142852</v>
      </c>
      <c r="Q144" s="15">
        <v>45771</v>
      </c>
      <c r="R144" s="15">
        <v>56607</v>
      </c>
      <c r="S144" s="15">
        <v>64435</v>
      </c>
      <c r="T144" s="15">
        <v>52428</v>
      </c>
      <c r="U144" s="15">
        <v>32727</v>
      </c>
      <c r="V144" s="15">
        <v>36388.5</v>
      </c>
      <c r="W144" s="15">
        <v>55698</v>
      </c>
    </row>
    <row r="145" spans="1:23" x14ac:dyDescent="0.3">
      <c r="A145" s="6">
        <v>849</v>
      </c>
      <c r="B145" s="6" t="s">
        <v>128</v>
      </c>
      <c r="C145" s="6" t="s">
        <v>634</v>
      </c>
      <c r="D145" s="6" t="s">
        <v>605</v>
      </c>
      <c r="E145" s="6" t="s">
        <v>606</v>
      </c>
      <c r="F145" s="6"/>
      <c r="G145" s="6"/>
      <c r="H145" s="6">
        <v>0</v>
      </c>
      <c r="I145" s="6">
        <v>0</v>
      </c>
      <c r="J145" s="6">
        <v>0</v>
      </c>
      <c r="K145" s="6" t="s">
        <v>150</v>
      </c>
      <c r="L145" s="6" t="s">
        <v>150</v>
      </c>
      <c r="M145" s="6" t="s">
        <v>150</v>
      </c>
      <c r="N145" s="7" t="s">
        <v>838</v>
      </c>
      <c r="O145" s="19"/>
      <c r="P145" s="15">
        <f t="shared" si="5"/>
        <v>2.8773142857142857</v>
      </c>
      <c r="Q145" s="15">
        <v>5867.5</v>
      </c>
      <c r="R145" s="15">
        <v>14916.5</v>
      </c>
      <c r="S145" s="15">
        <v>26736.5</v>
      </c>
      <c r="T145" s="15">
        <v>18966</v>
      </c>
      <c r="U145" s="15">
        <v>52487.5</v>
      </c>
      <c r="V145" s="15">
        <v>57080</v>
      </c>
      <c r="W145" s="15">
        <v>25358</v>
      </c>
    </row>
    <row r="146" spans="1:23" x14ac:dyDescent="0.3">
      <c r="A146" s="6">
        <v>851</v>
      </c>
      <c r="B146" s="6" t="s">
        <v>570</v>
      </c>
      <c r="C146" s="6" t="s">
        <v>635</v>
      </c>
      <c r="D146" s="6" t="s">
        <v>607</v>
      </c>
      <c r="E146" s="6" t="s">
        <v>608</v>
      </c>
      <c r="F146" s="6"/>
      <c r="G146" s="6"/>
      <c r="H146" s="6">
        <v>0</v>
      </c>
      <c r="I146" s="6">
        <v>1</v>
      </c>
      <c r="J146" s="6">
        <v>0</v>
      </c>
      <c r="K146" s="7" t="s">
        <v>869</v>
      </c>
      <c r="L146" s="7" t="s">
        <v>869</v>
      </c>
      <c r="M146" s="7" t="s">
        <v>61</v>
      </c>
      <c r="N146" s="6" t="s">
        <v>56</v>
      </c>
      <c r="O146" s="19"/>
      <c r="P146" s="15">
        <f t="shared" si="5"/>
        <v>8039.3651689782646</v>
      </c>
      <c r="Q146" s="15">
        <v>65581634.414299279</v>
      </c>
      <c r="R146" s="15">
        <v>72082922.413376197</v>
      </c>
      <c r="S146" s="15">
        <v>86431939.145993829</v>
      </c>
      <c r="T146" s="15">
        <v>84259561.502694309</v>
      </c>
      <c r="U146" s="15">
        <v>84503321.424590722</v>
      </c>
      <c r="V146" s="15">
        <v>84814481.050240815</v>
      </c>
      <c r="W146" s="15">
        <v>85081701.877283409</v>
      </c>
    </row>
    <row r="147" spans="1:23" x14ac:dyDescent="0.3">
      <c r="A147" s="6">
        <v>852</v>
      </c>
      <c r="B147" s="6" t="s">
        <v>129</v>
      </c>
      <c r="C147" s="6" t="s">
        <v>636</v>
      </c>
      <c r="D147" s="6" t="s">
        <v>609</v>
      </c>
      <c r="E147" s="6" t="s">
        <v>610</v>
      </c>
      <c r="F147" s="6"/>
      <c r="G147" s="6"/>
      <c r="H147" s="6">
        <v>0</v>
      </c>
      <c r="I147" s="6">
        <v>1</v>
      </c>
      <c r="J147" s="6">
        <v>0</v>
      </c>
      <c r="K147" s="7" t="s">
        <v>852</v>
      </c>
      <c r="L147" s="7" t="s">
        <v>852</v>
      </c>
      <c r="M147" s="7" t="s">
        <v>879</v>
      </c>
      <c r="N147" s="6" t="s">
        <v>838</v>
      </c>
      <c r="O147" s="19"/>
      <c r="P147" s="15">
        <f t="shared" si="5"/>
        <v>4637.1447703173026</v>
      </c>
      <c r="Q147" s="15">
        <v>39127872.576958202</v>
      </c>
      <c r="R147" s="15">
        <v>44706130.39415323</v>
      </c>
      <c r="S147" s="15">
        <v>46154161.75313209</v>
      </c>
      <c r="T147" s="15">
        <v>47029171.184730731</v>
      </c>
      <c r="U147" s="15">
        <v>48060702.223137185</v>
      </c>
      <c r="V147" s="15">
        <v>49280157.9942239</v>
      </c>
      <c r="W147" s="15">
        <v>50241937.795875847</v>
      </c>
    </row>
    <row r="148" spans="1:23" x14ac:dyDescent="0.3">
      <c r="A148" s="6">
        <v>857</v>
      </c>
      <c r="B148" s="6" t="s">
        <v>130</v>
      </c>
      <c r="C148" s="6" t="s">
        <v>637</v>
      </c>
      <c r="D148" s="6" t="s">
        <v>609</v>
      </c>
      <c r="E148" s="6" t="s">
        <v>611</v>
      </c>
      <c r="F148" s="6"/>
      <c r="G148" s="6"/>
      <c r="H148" s="6">
        <v>0</v>
      </c>
      <c r="I148" s="6">
        <v>0</v>
      </c>
      <c r="J148" s="6">
        <v>0</v>
      </c>
      <c r="K148" s="7" t="s">
        <v>852</v>
      </c>
      <c r="L148" s="7" t="s">
        <v>852</v>
      </c>
      <c r="M148" s="7" t="s">
        <v>879</v>
      </c>
      <c r="N148" s="6" t="s">
        <v>838</v>
      </c>
      <c r="O148" s="19"/>
      <c r="P148" s="15">
        <f t="shared" si="5"/>
        <v>800.54546441964374</v>
      </c>
      <c r="Q148" s="15">
        <v>5907184.9081133567</v>
      </c>
      <c r="R148" s="15">
        <v>6981467.6793650975</v>
      </c>
      <c r="S148" s="15">
        <v>8605464.5155820046</v>
      </c>
      <c r="T148" s="15">
        <v>8355248.4162376504</v>
      </c>
      <c r="U148" s="15">
        <v>8440921.2140770368</v>
      </c>
      <c r="V148" s="15">
        <v>8687751.6947936174</v>
      </c>
      <c r="W148" s="15">
        <v>9060144.0812062994</v>
      </c>
    </row>
    <row r="149" spans="1:23" x14ac:dyDescent="0.3">
      <c r="A149" s="6">
        <v>858</v>
      </c>
      <c r="B149" s="6" t="s">
        <v>131</v>
      </c>
      <c r="C149" s="6" t="s">
        <v>638</v>
      </c>
      <c r="D149" s="6" t="s">
        <v>612</v>
      </c>
      <c r="E149" s="6" t="s">
        <v>613</v>
      </c>
      <c r="F149" s="6"/>
      <c r="G149" s="6"/>
      <c r="H149" s="6">
        <v>0</v>
      </c>
      <c r="I149" s="6">
        <v>1</v>
      </c>
      <c r="J149" s="6">
        <v>0</v>
      </c>
      <c r="K149" s="7" t="s">
        <v>852</v>
      </c>
      <c r="L149" s="7" t="s">
        <v>852</v>
      </c>
      <c r="M149" s="7" t="s">
        <v>879</v>
      </c>
      <c r="N149" s="6" t="s">
        <v>838</v>
      </c>
      <c r="O149" s="19"/>
      <c r="P149" s="15">
        <f t="shared" si="5"/>
        <v>53.465708429630276</v>
      </c>
      <c r="Q149" s="15">
        <v>304595.58923304593</v>
      </c>
      <c r="R149" s="15">
        <v>518401.42142857378</v>
      </c>
      <c r="S149" s="15">
        <v>586481.42142857378</v>
      </c>
      <c r="T149" s="15">
        <v>618203.80779221049</v>
      </c>
      <c r="U149" s="15">
        <v>542579.50733456737</v>
      </c>
      <c r="V149" s="15">
        <v>581212.67142857378</v>
      </c>
      <c r="W149" s="15">
        <v>591125.17142857378</v>
      </c>
    </row>
    <row r="150" spans="1:23" x14ac:dyDescent="0.3">
      <c r="A150" s="6">
        <v>897</v>
      </c>
      <c r="B150" s="6" t="s">
        <v>571</v>
      </c>
      <c r="C150" s="6" t="s">
        <v>639</v>
      </c>
      <c r="D150" s="6" t="s">
        <v>614</v>
      </c>
      <c r="E150" s="6" t="s">
        <v>615</v>
      </c>
      <c r="F150" s="6"/>
      <c r="G150" s="6"/>
      <c r="H150" s="6">
        <v>0</v>
      </c>
      <c r="I150" s="6">
        <v>0</v>
      </c>
      <c r="J150" s="6">
        <v>0</v>
      </c>
      <c r="K150" s="7"/>
      <c r="L150" s="7"/>
      <c r="M150" s="7"/>
      <c r="N150" s="7"/>
      <c r="O150" s="19" t="s">
        <v>178</v>
      </c>
      <c r="P150" s="15">
        <f t="shared" si="5"/>
        <v>57.882429095080532</v>
      </c>
      <c r="Q150" s="15">
        <v>248055</v>
      </c>
      <c r="R150" s="15">
        <v>260586.5</v>
      </c>
      <c r="S150" s="15">
        <v>612247.71140309179</v>
      </c>
      <c r="T150" s="15">
        <v>755192.43989899161</v>
      </c>
      <c r="U150" s="15">
        <v>784541.93989899161</v>
      </c>
      <c r="V150" s="15">
        <v>767099.24545455549</v>
      </c>
      <c r="W150" s="15">
        <v>624047.20000000694</v>
      </c>
    </row>
    <row r="151" spans="1:23" x14ac:dyDescent="0.3">
      <c r="A151" s="6">
        <v>898</v>
      </c>
      <c r="B151" s="6" t="s">
        <v>572</v>
      </c>
      <c r="C151" s="6" t="s">
        <v>640</v>
      </c>
      <c r="D151" s="6" t="s">
        <v>616</v>
      </c>
      <c r="E151" s="6" t="s">
        <v>617</v>
      </c>
      <c r="F151" s="6"/>
      <c r="G151" s="6"/>
      <c r="H151" s="6">
        <v>0</v>
      </c>
      <c r="I151" s="6">
        <v>0</v>
      </c>
      <c r="J151" s="6">
        <v>0</v>
      </c>
      <c r="K151" s="17"/>
      <c r="L151" s="7"/>
      <c r="M151" s="7"/>
      <c r="N151" s="7"/>
      <c r="O151" s="19" t="s">
        <v>178</v>
      </c>
      <c r="P151" s="15">
        <f t="shared" ref="P151:P200" si="6">IF(MAX(Q151:W151)&gt;0,AVERAGEIF(Q151:W151,"&gt;0"),0) / 10000</f>
        <v>971.77443687162759</v>
      </c>
      <c r="Q151" s="15">
        <v>6690862.1632269975</v>
      </c>
      <c r="R151" s="15">
        <v>9338953.8259920143</v>
      </c>
      <c r="S151" s="15">
        <v>11120253.886611015</v>
      </c>
      <c r="T151" s="15">
        <v>9723122.7652314231</v>
      </c>
      <c r="U151" s="15">
        <v>10155291.340120139</v>
      </c>
      <c r="V151" s="15">
        <v>10267763.070103006</v>
      </c>
      <c r="W151" s="15">
        <v>10727963.529729348</v>
      </c>
    </row>
    <row r="152" spans="1:23" x14ac:dyDescent="0.3">
      <c r="A152" s="6">
        <v>901</v>
      </c>
      <c r="B152" s="6" t="s">
        <v>132</v>
      </c>
      <c r="C152" s="6" t="s">
        <v>133</v>
      </c>
      <c r="D152" s="6" t="s">
        <v>650</v>
      </c>
      <c r="E152" s="6" t="s">
        <v>651</v>
      </c>
      <c r="F152" s="6"/>
      <c r="G152" s="6"/>
      <c r="H152" s="6">
        <v>0</v>
      </c>
      <c r="I152" s="6">
        <v>0</v>
      </c>
      <c r="J152" s="6">
        <v>0</v>
      </c>
      <c r="K152" s="7" t="s">
        <v>133</v>
      </c>
      <c r="L152" s="7" t="s">
        <v>133</v>
      </c>
      <c r="M152" s="7" t="s">
        <v>133</v>
      </c>
      <c r="N152" s="7" t="s">
        <v>133</v>
      </c>
      <c r="O152" s="19"/>
      <c r="P152" s="15">
        <f t="shared" si="6"/>
        <v>19506.765944770199</v>
      </c>
      <c r="Q152" s="15">
        <v>68314195.924880967</v>
      </c>
      <c r="R152" s="15">
        <v>145196892.11847931</v>
      </c>
      <c r="S152" s="15">
        <v>171077638.67234391</v>
      </c>
      <c r="T152" s="15">
        <v>238877224.72515923</v>
      </c>
      <c r="U152" s="15">
        <v>244061230.63239136</v>
      </c>
      <c r="V152" s="15">
        <v>251895913.56902397</v>
      </c>
      <c r="W152" s="15">
        <v>246050520.49163535</v>
      </c>
    </row>
    <row r="153" spans="1:23" x14ac:dyDescent="0.3">
      <c r="A153" s="6">
        <v>902</v>
      </c>
      <c r="B153" s="6" t="s">
        <v>134</v>
      </c>
      <c r="C153" s="6" t="s">
        <v>696</v>
      </c>
      <c r="D153" s="6" t="s">
        <v>652</v>
      </c>
      <c r="E153" s="6" t="s">
        <v>653</v>
      </c>
      <c r="F153" s="6"/>
      <c r="G153" s="6"/>
      <c r="H153" s="6">
        <v>0</v>
      </c>
      <c r="I153" s="6">
        <v>0</v>
      </c>
      <c r="J153" s="6">
        <v>0</v>
      </c>
      <c r="K153" s="7" t="s">
        <v>183</v>
      </c>
      <c r="L153" s="7" t="s">
        <v>183</v>
      </c>
      <c r="M153" s="7" t="s">
        <v>183</v>
      </c>
      <c r="N153" s="7" t="s">
        <v>183</v>
      </c>
      <c r="O153" s="19" t="s">
        <v>178</v>
      </c>
      <c r="P153" s="15">
        <f t="shared" si="6"/>
        <v>49596.859757746366</v>
      </c>
      <c r="Q153" s="15">
        <v>30473960.83529304</v>
      </c>
      <c r="R153" s="15">
        <v>37442130.603894137</v>
      </c>
      <c r="S153" s="15">
        <v>1174960877.2594795</v>
      </c>
      <c r="T153" s="15">
        <v>571428031.84289205</v>
      </c>
      <c r="U153" s="15">
        <v>560772346.22845924</v>
      </c>
      <c r="V153" s="15">
        <v>551686037.74709785</v>
      </c>
      <c r="W153" s="15">
        <v>545016798.52512991</v>
      </c>
    </row>
    <row r="154" spans="1:23" x14ac:dyDescent="0.3">
      <c r="A154" s="6">
        <v>903</v>
      </c>
      <c r="B154" s="6" t="s">
        <v>135</v>
      </c>
      <c r="C154" s="6" t="s">
        <v>697</v>
      </c>
      <c r="D154" s="6" t="s">
        <v>654</v>
      </c>
      <c r="E154" s="6" t="s">
        <v>655</v>
      </c>
      <c r="F154" s="6"/>
      <c r="G154" s="6"/>
      <c r="H154" s="6">
        <v>0</v>
      </c>
      <c r="I154" s="6">
        <v>0</v>
      </c>
      <c r="J154" s="6">
        <v>0</v>
      </c>
      <c r="K154" s="3"/>
      <c r="L154" s="3"/>
      <c r="M154" s="27"/>
      <c r="N154" s="7"/>
      <c r="O154" s="19" t="s">
        <v>178</v>
      </c>
      <c r="P154" s="15">
        <f t="shared" si="6"/>
        <v>733.20501422410098</v>
      </c>
      <c r="Q154" s="15">
        <v>4776970.3000000007</v>
      </c>
      <c r="R154" s="15">
        <v>7366707.0542208897</v>
      </c>
      <c r="S154" s="15">
        <v>8458938.638955811</v>
      </c>
      <c r="T154" s="15">
        <v>7834728.6827391032</v>
      </c>
      <c r="U154" s="15">
        <v>7631452.1825654628</v>
      </c>
      <c r="V154" s="15">
        <v>7553120.0861106161</v>
      </c>
      <c r="W154" s="15">
        <v>7702434.0510951886</v>
      </c>
    </row>
    <row r="155" spans="1:23" x14ac:dyDescent="0.3">
      <c r="A155" s="6">
        <v>904</v>
      </c>
      <c r="B155" s="6" t="s">
        <v>136</v>
      </c>
      <c r="C155" s="6" t="s">
        <v>698</v>
      </c>
      <c r="D155" s="6" t="s">
        <v>656</v>
      </c>
      <c r="E155" s="6" t="s">
        <v>657</v>
      </c>
      <c r="F155" s="6"/>
      <c r="G155" s="6"/>
      <c r="H155" s="6">
        <v>0</v>
      </c>
      <c r="I155" s="6">
        <v>1</v>
      </c>
      <c r="J155" s="6">
        <v>0</v>
      </c>
      <c r="K155" s="17" t="s">
        <v>194</v>
      </c>
      <c r="L155" s="7" t="s">
        <v>194</v>
      </c>
      <c r="M155" s="7" t="s">
        <v>194</v>
      </c>
      <c r="N155" s="7" t="s">
        <v>194</v>
      </c>
      <c r="O155" s="19"/>
      <c r="P155" s="15">
        <f t="shared" si="6"/>
        <v>177.24271767857144</v>
      </c>
      <c r="Q155" s="15">
        <v>1947494.5</v>
      </c>
      <c r="R155" s="15">
        <v>1683014.5</v>
      </c>
      <c r="S155" s="15">
        <v>1949519.4</v>
      </c>
      <c r="T155" s="15">
        <v>1715700.9</v>
      </c>
      <c r="U155" s="15">
        <v>1708321.0625</v>
      </c>
      <c r="V155" s="15">
        <v>1707599.1874999995</v>
      </c>
      <c r="W155" s="15">
        <v>1695340.6874999995</v>
      </c>
    </row>
    <row r="156" spans="1:23" x14ac:dyDescent="0.3">
      <c r="A156" s="6">
        <v>905</v>
      </c>
      <c r="B156" s="6" t="s">
        <v>137</v>
      </c>
      <c r="C156" s="6" t="s">
        <v>699</v>
      </c>
      <c r="D156" s="6" t="s">
        <v>658</v>
      </c>
      <c r="E156" s="6" t="s">
        <v>659</v>
      </c>
      <c r="F156" s="6"/>
      <c r="G156" s="6"/>
      <c r="H156" s="6">
        <v>0</v>
      </c>
      <c r="I156" s="6">
        <v>1</v>
      </c>
      <c r="J156" s="6">
        <v>0</v>
      </c>
      <c r="K156" s="7" t="s">
        <v>183</v>
      </c>
      <c r="L156" s="7" t="s">
        <v>183</v>
      </c>
      <c r="M156" s="7" t="s">
        <v>183</v>
      </c>
      <c r="N156" s="7" t="s">
        <v>183</v>
      </c>
      <c r="O156" s="19"/>
      <c r="P156" s="15">
        <f t="shared" si="6"/>
        <v>51.811886004573068</v>
      </c>
      <c r="Q156" s="15">
        <v>412442.40342809213</v>
      </c>
      <c r="R156" s="15">
        <v>476420.63953920407</v>
      </c>
      <c r="S156" s="15">
        <v>446291.00692271604</v>
      </c>
      <c r="T156" s="15">
        <v>521705.86760752555</v>
      </c>
      <c r="U156" s="15">
        <v>529785.36760752555</v>
      </c>
      <c r="V156" s="15">
        <v>610073.36760752555</v>
      </c>
      <c r="W156" s="15">
        <v>630113.36760752555</v>
      </c>
    </row>
    <row r="157" spans="1:23" x14ac:dyDescent="0.3">
      <c r="A157" s="6">
        <v>906</v>
      </c>
      <c r="B157" s="6" t="s">
        <v>138</v>
      </c>
      <c r="C157" s="6" t="s">
        <v>700</v>
      </c>
      <c r="D157" s="6" t="s">
        <v>660</v>
      </c>
      <c r="E157" s="6" t="s">
        <v>661</v>
      </c>
      <c r="F157" s="6"/>
      <c r="G157" s="6"/>
      <c r="H157" s="6">
        <v>0</v>
      </c>
      <c r="I157" s="6">
        <v>1</v>
      </c>
      <c r="J157" s="6">
        <v>0</v>
      </c>
      <c r="K157" s="7" t="s">
        <v>183</v>
      </c>
      <c r="L157" s="7" t="s">
        <v>183</v>
      </c>
      <c r="M157" s="7" t="s">
        <v>183</v>
      </c>
      <c r="N157" s="7" t="s">
        <v>183</v>
      </c>
      <c r="O157" s="19"/>
      <c r="P157" s="15">
        <f t="shared" si="6"/>
        <v>7.6835319934034123</v>
      </c>
      <c r="Q157" s="15">
        <v>74951.879870129633</v>
      </c>
      <c r="R157" s="15">
        <v>73857.487012986792</v>
      </c>
      <c r="S157" s="15">
        <v>79797.737012986792</v>
      </c>
      <c r="T157" s="15">
        <v>77235.879870129866</v>
      </c>
      <c r="U157" s="15">
        <v>77113.879870129866</v>
      </c>
      <c r="V157" s="15">
        <v>77753.879870129866</v>
      </c>
      <c r="W157" s="15">
        <v>77136.496031746035</v>
      </c>
    </row>
    <row r="158" spans="1:23" x14ac:dyDescent="0.3">
      <c r="A158" s="6">
        <v>907</v>
      </c>
      <c r="B158" s="6" t="s">
        <v>139</v>
      </c>
      <c r="C158" s="6" t="s">
        <v>701</v>
      </c>
      <c r="D158" s="6" t="s">
        <v>662</v>
      </c>
      <c r="E158" s="6" t="s">
        <v>663</v>
      </c>
      <c r="F158" s="6"/>
      <c r="G158" s="6"/>
      <c r="H158" s="6">
        <v>0</v>
      </c>
      <c r="I158" s="6">
        <v>0</v>
      </c>
      <c r="J158" s="6">
        <v>0</v>
      </c>
      <c r="K158" s="7" t="s">
        <v>183</v>
      </c>
      <c r="L158" s="7" t="s">
        <v>183</v>
      </c>
      <c r="M158" s="7" t="s">
        <v>183</v>
      </c>
      <c r="N158" s="7" t="s">
        <v>183</v>
      </c>
      <c r="O158" s="19"/>
      <c r="P158" s="15">
        <f t="shared" si="6"/>
        <v>96.706834158919506</v>
      </c>
      <c r="Q158" s="15">
        <v>734024.92811649712</v>
      </c>
      <c r="R158" s="15">
        <v>814444.50646637206</v>
      </c>
      <c r="S158" s="15">
        <v>905096.28739159775</v>
      </c>
      <c r="T158" s="15">
        <v>1001956.8790169582</v>
      </c>
      <c r="U158" s="15">
        <v>1095270.1261312328</v>
      </c>
      <c r="V158" s="15">
        <v>1103684.414001707</v>
      </c>
      <c r="W158" s="15">
        <v>1115001.2500000005</v>
      </c>
    </row>
    <row r="159" spans="1:23" x14ac:dyDescent="0.3">
      <c r="A159" s="6">
        <v>908</v>
      </c>
      <c r="B159" s="6" t="s">
        <v>140</v>
      </c>
      <c r="C159" s="6" t="s">
        <v>141</v>
      </c>
      <c r="D159" s="6" t="s">
        <v>664</v>
      </c>
      <c r="E159" s="6" t="s">
        <v>665</v>
      </c>
      <c r="F159" s="6"/>
      <c r="G159" s="6"/>
      <c r="H159" s="6">
        <v>0</v>
      </c>
      <c r="I159" s="6">
        <v>1</v>
      </c>
      <c r="J159" s="6">
        <v>0</v>
      </c>
      <c r="K159" s="7"/>
      <c r="L159" s="7"/>
      <c r="M159" s="3"/>
      <c r="N159" s="6"/>
      <c r="O159" s="19" t="s">
        <v>178</v>
      </c>
      <c r="P159" s="15">
        <f t="shared" si="6"/>
        <v>95.270678571428562</v>
      </c>
      <c r="Q159" s="15">
        <v>535515</v>
      </c>
      <c r="R159" s="15">
        <v>1075256</v>
      </c>
      <c r="S159" s="15">
        <v>1038020.5</v>
      </c>
      <c r="T159" s="15">
        <v>1008844.5</v>
      </c>
      <c r="U159" s="15">
        <v>1008134.5</v>
      </c>
      <c r="V159" s="15">
        <v>1002132</v>
      </c>
      <c r="W159" s="15">
        <v>1001045</v>
      </c>
    </row>
    <row r="160" spans="1:23" x14ac:dyDescent="0.3">
      <c r="A160" s="6">
        <v>909</v>
      </c>
      <c r="B160" s="6" t="s">
        <v>142</v>
      </c>
      <c r="C160" s="6" t="s">
        <v>702</v>
      </c>
      <c r="D160" s="6" t="s">
        <v>666</v>
      </c>
      <c r="E160" s="6" t="s">
        <v>667</v>
      </c>
      <c r="F160" s="6"/>
      <c r="G160" s="6"/>
      <c r="H160" s="6">
        <v>0</v>
      </c>
      <c r="I160" s="6">
        <v>0</v>
      </c>
      <c r="J160" s="6">
        <v>0</v>
      </c>
      <c r="K160" s="3" t="s">
        <v>871</v>
      </c>
      <c r="L160" s="3" t="s">
        <v>871</v>
      </c>
      <c r="M160" s="3" t="s">
        <v>871</v>
      </c>
      <c r="N160" s="3" t="s">
        <v>871</v>
      </c>
      <c r="O160" s="19"/>
      <c r="P160" s="15">
        <f t="shared" si="6"/>
        <v>80.300000650195813</v>
      </c>
      <c r="Q160" s="15">
        <v>255378.69898925442</v>
      </c>
      <c r="R160" s="15">
        <v>548975</v>
      </c>
      <c r="S160" s="15">
        <v>861510.34523809375</v>
      </c>
      <c r="T160" s="15">
        <v>978201.78960730368</v>
      </c>
      <c r="U160" s="15">
        <v>993498.65627396991</v>
      </c>
      <c r="V160" s="15">
        <v>985967.61103587551</v>
      </c>
      <c r="W160" s="15">
        <v>997467.94436920993</v>
      </c>
    </row>
    <row r="161" spans="1:23" x14ac:dyDescent="0.3">
      <c r="A161" s="6">
        <v>911</v>
      </c>
      <c r="B161" s="6" t="s">
        <v>143</v>
      </c>
      <c r="C161" s="6" t="s">
        <v>703</v>
      </c>
      <c r="D161" s="6" t="s">
        <v>668</v>
      </c>
      <c r="E161" s="6" t="s">
        <v>669</v>
      </c>
      <c r="F161" s="6"/>
      <c r="G161" s="6"/>
      <c r="H161" s="6">
        <v>0</v>
      </c>
      <c r="I161" s="6">
        <v>0</v>
      </c>
      <c r="J161" s="6">
        <v>0</v>
      </c>
      <c r="K161" s="3" t="s">
        <v>871</v>
      </c>
      <c r="L161" s="3" t="s">
        <v>871</v>
      </c>
      <c r="M161" s="3" t="s">
        <v>871</v>
      </c>
      <c r="N161" s="3" t="s">
        <v>871</v>
      </c>
      <c r="O161" s="19"/>
      <c r="P161" s="15">
        <f t="shared" si="6"/>
        <v>2.09755</v>
      </c>
      <c r="Q161" s="15">
        <v>9260.5</v>
      </c>
      <c r="R161" s="15">
        <v>11948</v>
      </c>
      <c r="S161" s="15">
        <v>24562</v>
      </c>
      <c r="T161" s="15">
        <v>29893.5</v>
      </c>
      <c r="U161" s="15">
        <v>21788.5</v>
      </c>
      <c r="V161" s="15">
        <v>29049</v>
      </c>
      <c r="W161" s="15">
        <v>20327</v>
      </c>
    </row>
    <row r="162" spans="1:23" x14ac:dyDescent="0.3">
      <c r="A162" s="10">
        <v>921</v>
      </c>
      <c r="B162" s="11" t="s">
        <v>641</v>
      </c>
      <c r="C162" s="11" t="s">
        <v>704</v>
      </c>
      <c r="D162" s="11" t="s">
        <v>670</v>
      </c>
      <c r="E162" s="11" t="s">
        <v>671</v>
      </c>
      <c r="F162" s="11"/>
      <c r="G162" s="11"/>
      <c r="H162" s="11">
        <v>1</v>
      </c>
      <c r="I162" s="11">
        <v>1</v>
      </c>
      <c r="J162" s="11">
        <v>0</v>
      </c>
      <c r="K162" s="11"/>
      <c r="L162" s="11"/>
      <c r="M162" s="11"/>
      <c r="N162" s="11"/>
      <c r="O162" s="21" t="s">
        <v>178</v>
      </c>
      <c r="P162" s="15">
        <f t="shared" si="6"/>
        <v>0</v>
      </c>
      <c r="Q162" s="15"/>
      <c r="R162" s="15"/>
      <c r="S162" s="15"/>
      <c r="T162" s="15"/>
      <c r="U162" s="15"/>
      <c r="V162" s="15"/>
      <c r="W162" s="15"/>
    </row>
    <row r="163" spans="1:23" x14ac:dyDescent="0.3">
      <c r="A163" s="10">
        <v>922</v>
      </c>
      <c r="B163" s="11" t="s">
        <v>642</v>
      </c>
      <c r="C163" s="11" t="s">
        <v>705</v>
      </c>
      <c r="D163" s="11" t="s">
        <v>672</v>
      </c>
      <c r="E163" s="11" t="s">
        <v>673</v>
      </c>
      <c r="F163" s="11"/>
      <c r="G163" s="11"/>
      <c r="H163" s="11">
        <v>1</v>
      </c>
      <c r="I163" s="11">
        <v>1</v>
      </c>
      <c r="J163" s="11">
        <v>0</v>
      </c>
      <c r="K163" s="11"/>
      <c r="L163" s="11"/>
      <c r="M163" s="11"/>
      <c r="N163" s="11"/>
      <c r="O163" s="21" t="s">
        <v>178</v>
      </c>
      <c r="P163" s="15">
        <f t="shared" si="6"/>
        <v>0</v>
      </c>
      <c r="Q163" s="15"/>
      <c r="R163" s="15"/>
      <c r="S163" s="15"/>
      <c r="T163" s="15"/>
      <c r="U163" s="15"/>
      <c r="V163" s="15"/>
      <c r="W163" s="15"/>
    </row>
    <row r="164" spans="1:23" x14ac:dyDescent="0.3">
      <c r="A164" s="10">
        <v>923</v>
      </c>
      <c r="B164" s="11" t="s">
        <v>643</v>
      </c>
      <c r="C164" s="11" t="s">
        <v>706</v>
      </c>
      <c r="D164" s="11" t="s">
        <v>674</v>
      </c>
      <c r="E164" s="11" t="s">
        <v>675</v>
      </c>
      <c r="F164" s="11"/>
      <c r="G164" s="11"/>
      <c r="H164" s="11">
        <v>1</v>
      </c>
      <c r="I164" s="11">
        <v>1</v>
      </c>
      <c r="J164" s="11">
        <v>0</v>
      </c>
      <c r="K164" s="11"/>
      <c r="L164" s="11"/>
      <c r="M164" s="11"/>
      <c r="N164" s="11"/>
      <c r="O164" s="21" t="s">
        <v>178</v>
      </c>
      <c r="P164" s="15">
        <f t="shared" si="6"/>
        <v>0</v>
      </c>
      <c r="Q164" s="15"/>
      <c r="R164" s="15"/>
      <c r="S164" s="15"/>
      <c r="T164" s="15"/>
      <c r="U164" s="15"/>
      <c r="V164" s="15"/>
      <c r="W164" s="15"/>
    </row>
    <row r="165" spans="1:23" x14ac:dyDescent="0.3">
      <c r="A165" s="10">
        <v>924</v>
      </c>
      <c r="B165" s="11" t="s">
        <v>644</v>
      </c>
      <c r="C165" s="11" t="s">
        <v>707</v>
      </c>
      <c r="D165" s="11" t="s">
        <v>676</v>
      </c>
      <c r="E165" s="11" t="s">
        <v>677</v>
      </c>
      <c r="F165" s="11"/>
      <c r="G165" s="11"/>
      <c r="H165" s="11">
        <v>1</v>
      </c>
      <c r="I165" s="11">
        <v>1</v>
      </c>
      <c r="J165" s="11">
        <v>0</v>
      </c>
      <c r="K165" s="11"/>
      <c r="L165" s="11"/>
      <c r="M165" s="11"/>
      <c r="N165" s="11"/>
      <c r="O165" s="21" t="s">
        <v>178</v>
      </c>
      <c r="P165" s="15">
        <f t="shared" si="6"/>
        <v>0</v>
      </c>
      <c r="Q165" s="15"/>
      <c r="R165" s="15"/>
      <c r="S165" s="15"/>
      <c r="T165" s="15"/>
      <c r="U165" s="15"/>
      <c r="V165" s="15"/>
      <c r="W165" s="15"/>
    </row>
    <row r="166" spans="1:23" x14ac:dyDescent="0.3">
      <c r="A166" s="10">
        <v>926</v>
      </c>
      <c r="B166" s="11" t="s">
        <v>645</v>
      </c>
      <c r="C166" s="11" t="s">
        <v>708</v>
      </c>
      <c r="D166" s="11" t="s">
        <v>678</v>
      </c>
      <c r="E166" s="11" t="s">
        <v>679</v>
      </c>
      <c r="F166" s="11">
        <v>2022</v>
      </c>
      <c r="G166" s="11"/>
      <c r="H166" s="11">
        <v>1</v>
      </c>
      <c r="I166" s="11">
        <v>0</v>
      </c>
      <c r="J166" s="11">
        <v>0</v>
      </c>
      <c r="K166" s="11"/>
      <c r="L166" s="11"/>
      <c r="M166" s="11"/>
      <c r="N166" s="11"/>
      <c r="O166" s="21" t="s">
        <v>178</v>
      </c>
      <c r="P166" s="15">
        <f t="shared" si="6"/>
        <v>0</v>
      </c>
      <c r="Q166" s="15"/>
      <c r="R166" s="15"/>
      <c r="S166" s="15"/>
      <c r="T166" s="15"/>
      <c r="U166" s="15"/>
      <c r="V166" s="15"/>
      <c r="W166" s="15"/>
    </row>
    <row r="167" spans="1:23" x14ac:dyDescent="0.3">
      <c r="A167" s="10">
        <v>927</v>
      </c>
      <c r="B167" s="11" t="s">
        <v>646</v>
      </c>
      <c r="C167" s="11" t="s">
        <v>709</v>
      </c>
      <c r="D167" s="11" t="s">
        <v>680</v>
      </c>
      <c r="E167" s="11" t="s">
        <v>681</v>
      </c>
      <c r="F167" s="11"/>
      <c r="G167" s="11"/>
      <c r="H167" s="11">
        <v>1</v>
      </c>
      <c r="I167" s="11">
        <v>1</v>
      </c>
      <c r="J167" s="11">
        <v>0</v>
      </c>
      <c r="K167" s="11"/>
      <c r="L167" s="11"/>
      <c r="M167" s="11"/>
      <c r="N167" s="11"/>
      <c r="O167" s="21" t="s">
        <v>178</v>
      </c>
      <c r="P167" s="15">
        <f t="shared" si="6"/>
        <v>0</v>
      </c>
      <c r="Q167" s="15"/>
      <c r="R167" s="15"/>
      <c r="S167" s="15"/>
      <c r="T167" s="15"/>
      <c r="U167" s="15"/>
      <c r="V167" s="15"/>
      <c r="W167" s="15"/>
    </row>
    <row r="168" spans="1:23" x14ac:dyDescent="0.3">
      <c r="A168" s="10">
        <v>928</v>
      </c>
      <c r="B168" s="11" t="s">
        <v>647</v>
      </c>
      <c r="C168" s="11" t="s">
        <v>710</v>
      </c>
      <c r="D168" s="11" t="s">
        <v>682</v>
      </c>
      <c r="E168" s="11" t="s">
        <v>683</v>
      </c>
      <c r="F168" s="11"/>
      <c r="G168" s="11"/>
      <c r="H168" s="11">
        <v>1</v>
      </c>
      <c r="I168" s="11">
        <v>1</v>
      </c>
      <c r="J168" s="11">
        <v>0</v>
      </c>
      <c r="K168" s="11"/>
      <c r="L168" s="11"/>
      <c r="M168" s="11"/>
      <c r="N168" s="11"/>
      <c r="O168" s="21" t="s">
        <v>178</v>
      </c>
      <c r="P168" s="15">
        <f t="shared" si="6"/>
        <v>0</v>
      </c>
      <c r="Q168" s="15"/>
      <c r="R168" s="15"/>
      <c r="S168" s="15"/>
      <c r="T168" s="15"/>
      <c r="U168" s="15"/>
      <c r="V168" s="15"/>
      <c r="W168" s="15"/>
    </row>
    <row r="169" spans="1:23" x14ac:dyDescent="0.3">
      <c r="A169" s="6">
        <v>930</v>
      </c>
      <c r="B169" s="6" t="s">
        <v>144</v>
      </c>
      <c r="C169" s="6" t="s">
        <v>711</v>
      </c>
      <c r="D169" s="6" t="s">
        <v>684</v>
      </c>
      <c r="E169" s="6" t="s">
        <v>685</v>
      </c>
      <c r="F169" s="6"/>
      <c r="G169" s="6"/>
      <c r="H169" s="6">
        <v>0</v>
      </c>
      <c r="I169" s="6">
        <v>0</v>
      </c>
      <c r="J169" s="6">
        <v>0</v>
      </c>
      <c r="K169" s="7" t="s">
        <v>830</v>
      </c>
      <c r="L169" s="7" t="s">
        <v>830</v>
      </c>
      <c r="M169" s="7" t="s">
        <v>830</v>
      </c>
      <c r="N169" s="6" t="s">
        <v>56</v>
      </c>
      <c r="O169" s="19"/>
      <c r="P169" s="15">
        <f t="shared" si="6"/>
        <v>194233.89813277722</v>
      </c>
      <c r="Q169" s="23">
        <v>999190383.66507041</v>
      </c>
      <c r="R169" s="23">
        <v>1086529163.100774</v>
      </c>
      <c r="S169" s="23">
        <v>2132467545.5323994</v>
      </c>
      <c r="T169" s="23">
        <v>2043353126.8700011</v>
      </c>
      <c r="U169" s="23">
        <v>2247364347.4245186</v>
      </c>
      <c r="V169" s="23">
        <v>2438138613.1544147</v>
      </c>
      <c r="W169" s="24">
        <v>2649329689.5472274</v>
      </c>
    </row>
    <row r="170" spans="1:23" x14ac:dyDescent="0.3">
      <c r="A170" s="9">
        <v>933</v>
      </c>
      <c r="B170" s="9" t="s">
        <v>172</v>
      </c>
      <c r="C170" s="9" t="s">
        <v>712</v>
      </c>
      <c r="D170" s="9" t="s">
        <v>686</v>
      </c>
      <c r="E170" s="9" t="s">
        <v>687</v>
      </c>
      <c r="F170" s="9"/>
      <c r="G170" s="9"/>
      <c r="H170" s="9">
        <v>0</v>
      </c>
      <c r="I170" s="9">
        <v>0</v>
      </c>
      <c r="J170" s="9">
        <v>0</v>
      </c>
      <c r="K170" s="9" t="s">
        <v>875</v>
      </c>
      <c r="L170" s="6" t="s">
        <v>81</v>
      </c>
      <c r="M170" s="6" t="s">
        <v>81</v>
      </c>
      <c r="N170" s="6" t="s">
        <v>56</v>
      </c>
      <c r="O170" s="19" t="s">
        <v>178</v>
      </c>
      <c r="P170" s="15">
        <f t="shared" si="6"/>
        <v>1457.9465166666666</v>
      </c>
      <c r="Q170" s="25">
        <v>0</v>
      </c>
      <c r="R170" s="25">
        <v>19768.5</v>
      </c>
      <c r="S170" s="25">
        <v>14671252</v>
      </c>
      <c r="T170" s="25">
        <v>18252885</v>
      </c>
      <c r="U170" s="25">
        <v>18244256.5</v>
      </c>
      <c r="V170" s="25">
        <v>18765977</v>
      </c>
      <c r="W170" s="26">
        <v>17522652</v>
      </c>
    </row>
    <row r="171" spans="1:23" x14ac:dyDescent="0.3">
      <c r="A171" s="9">
        <v>935</v>
      </c>
      <c r="B171" s="9" t="s">
        <v>170</v>
      </c>
      <c r="C171" s="9" t="s">
        <v>713</v>
      </c>
      <c r="D171" s="9" t="s">
        <v>688</v>
      </c>
      <c r="E171" s="9" t="s">
        <v>689</v>
      </c>
      <c r="F171" s="9"/>
      <c r="G171" s="9"/>
      <c r="H171" s="9">
        <v>0</v>
      </c>
      <c r="I171" s="9">
        <v>0</v>
      </c>
      <c r="J171" s="9">
        <v>0</v>
      </c>
      <c r="K171" s="7"/>
      <c r="L171" s="7"/>
      <c r="M171" s="6"/>
      <c r="N171" s="6"/>
      <c r="O171" s="19" t="s">
        <v>178</v>
      </c>
      <c r="P171" s="15">
        <f t="shared" si="6"/>
        <v>29.082264285714285</v>
      </c>
      <c r="Q171" s="23">
        <v>74516.5</v>
      </c>
      <c r="R171" s="23">
        <v>256055.5</v>
      </c>
      <c r="S171" s="23">
        <v>333726</v>
      </c>
      <c r="T171" s="23">
        <v>305926</v>
      </c>
      <c r="U171" s="23">
        <v>356963.5</v>
      </c>
      <c r="V171" s="23">
        <v>375351</v>
      </c>
      <c r="W171" s="24">
        <v>333220</v>
      </c>
    </row>
    <row r="172" spans="1:23" x14ac:dyDescent="0.3">
      <c r="A172" s="9">
        <v>936</v>
      </c>
      <c r="B172" s="9" t="s">
        <v>171</v>
      </c>
      <c r="C172" s="9" t="s">
        <v>714</v>
      </c>
      <c r="D172" s="9" t="s">
        <v>690</v>
      </c>
      <c r="E172" s="9" t="s">
        <v>691</v>
      </c>
      <c r="F172" s="9"/>
      <c r="G172" s="9"/>
      <c r="H172" s="9">
        <v>0</v>
      </c>
      <c r="I172" s="9">
        <v>0</v>
      </c>
      <c r="J172" s="9">
        <v>0</v>
      </c>
      <c r="K172" s="7" t="s">
        <v>853</v>
      </c>
      <c r="L172" s="7" t="s">
        <v>853</v>
      </c>
      <c r="M172" s="7" t="s">
        <v>853</v>
      </c>
      <c r="N172" s="6" t="s">
        <v>853</v>
      </c>
      <c r="O172" s="19"/>
      <c r="P172" s="15">
        <f t="shared" si="6"/>
        <v>338.24971872146119</v>
      </c>
      <c r="Q172" s="25">
        <v>3081843.5</v>
      </c>
      <c r="R172" s="25">
        <v>3451578</v>
      </c>
      <c r="S172" s="25">
        <v>2979251</v>
      </c>
      <c r="T172" s="25">
        <v>2978793.5</v>
      </c>
      <c r="U172" s="25">
        <v>2983839.5</v>
      </c>
      <c r="V172" s="25">
        <v>3082719.6552511407</v>
      </c>
      <c r="W172" s="26">
        <v>5119455.1552511407</v>
      </c>
    </row>
    <row r="173" spans="1:23" x14ac:dyDescent="0.3">
      <c r="A173" s="10">
        <v>950</v>
      </c>
      <c r="B173" s="11" t="s">
        <v>55</v>
      </c>
      <c r="C173" s="11" t="s">
        <v>715</v>
      </c>
      <c r="D173" s="11" t="s">
        <v>229</v>
      </c>
      <c r="E173" s="11" t="s">
        <v>359</v>
      </c>
      <c r="F173" s="11">
        <v>2023</v>
      </c>
      <c r="G173" s="11"/>
      <c r="H173" s="11">
        <v>1</v>
      </c>
      <c r="I173" s="11">
        <v>1</v>
      </c>
      <c r="J173" s="11">
        <v>0</v>
      </c>
      <c r="K173" s="6" t="s">
        <v>58</v>
      </c>
      <c r="L173" s="6" t="s">
        <v>58</v>
      </c>
      <c r="M173" t="s">
        <v>865</v>
      </c>
      <c r="N173" s="6" t="s">
        <v>870</v>
      </c>
      <c r="O173" s="21" t="s">
        <v>178</v>
      </c>
      <c r="P173" s="15">
        <f t="shared" si="6"/>
        <v>0</v>
      </c>
      <c r="Q173" s="15"/>
      <c r="R173" s="15"/>
      <c r="S173" s="15"/>
      <c r="T173" s="15"/>
      <c r="U173" s="15"/>
      <c r="V173" s="15"/>
      <c r="W173" s="15"/>
    </row>
    <row r="174" spans="1:23" x14ac:dyDescent="0.3">
      <c r="A174" s="10">
        <v>951</v>
      </c>
      <c r="B174" s="11" t="s">
        <v>648</v>
      </c>
      <c r="C174" s="11" t="s">
        <v>716</v>
      </c>
      <c r="D174" s="11" t="s">
        <v>692</v>
      </c>
      <c r="E174" s="11" t="s">
        <v>693</v>
      </c>
      <c r="F174" s="11">
        <v>2023</v>
      </c>
      <c r="G174" s="11">
        <v>2024</v>
      </c>
      <c r="H174" s="11">
        <v>1</v>
      </c>
      <c r="I174" s="11">
        <v>1</v>
      </c>
      <c r="J174" s="11">
        <v>0</v>
      </c>
      <c r="K174" s="11"/>
      <c r="L174" s="11"/>
      <c r="M174" s="11"/>
      <c r="N174" s="10"/>
      <c r="O174" s="21" t="s">
        <v>178</v>
      </c>
      <c r="P174" s="15">
        <f t="shared" si="6"/>
        <v>0</v>
      </c>
      <c r="Q174" s="15"/>
      <c r="R174" s="15"/>
      <c r="S174" s="15"/>
      <c r="T174" s="15"/>
      <c r="U174" s="15"/>
      <c r="V174" s="15"/>
      <c r="W174" s="15"/>
    </row>
    <row r="175" spans="1:23" x14ac:dyDescent="0.3">
      <c r="A175" s="6">
        <v>998</v>
      </c>
      <c r="B175" s="6" t="s">
        <v>649</v>
      </c>
      <c r="C175" s="6" t="s">
        <v>717</v>
      </c>
      <c r="D175" s="6" t="s">
        <v>694</v>
      </c>
      <c r="E175" s="6" t="s">
        <v>695</v>
      </c>
      <c r="F175" s="6"/>
      <c r="G175" s="6"/>
      <c r="H175" s="6">
        <v>0</v>
      </c>
      <c r="I175" s="6">
        <v>0</v>
      </c>
      <c r="J175" s="6">
        <v>0</v>
      </c>
      <c r="K175" s="17"/>
      <c r="L175" s="7"/>
      <c r="M175" s="7"/>
      <c r="N175" s="7"/>
      <c r="O175" s="19" t="s">
        <v>178</v>
      </c>
      <c r="P175" s="15">
        <f t="shared" si="6"/>
        <v>574.62526614753472</v>
      </c>
      <c r="Q175" s="23">
        <v>2741766.1276711109</v>
      </c>
      <c r="R175" s="23">
        <v>3478020.2028831718</v>
      </c>
      <c r="S175" s="23">
        <v>6463817.7001709491</v>
      </c>
      <c r="T175" s="23">
        <v>5132029.9638476446</v>
      </c>
      <c r="U175" s="23">
        <v>6269062.9763003308</v>
      </c>
      <c r="V175" s="23">
        <v>7553210.4250924708</v>
      </c>
      <c r="W175" s="24">
        <v>8585861.2343617585</v>
      </c>
    </row>
    <row r="176" spans="1:23" x14ac:dyDescent="0.3">
      <c r="A176" s="6">
        <v>1901</v>
      </c>
      <c r="B176" s="7" t="s">
        <v>722</v>
      </c>
      <c r="C176" s="7" t="s">
        <v>747</v>
      </c>
      <c r="D176" s="7" t="s">
        <v>748</v>
      </c>
      <c r="E176" s="7" t="s">
        <v>749</v>
      </c>
      <c r="F176" s="7"/>
      <c r="G176" s="7"/>
      <c r="H176" s="7"/>
      <c r="I176" s="7"/>
      <c r="J176" s="7"/>
      <c r="K176" s="7" t="s">
        <v>183</v>
      </c>
      <c r="L176" s="7" t="s">
        <v>183</v>
      </c>
      <c r="M176" s="7" t="s">
        <v>183</v>
      </c>
      <c r="N176" s="6" t="s">
        <v>183</v>
      </c>
      <c r="O176" s="19"/>
      <c r="P176" s="15">
        <f t="shared" si="6"/>
        <v>270153.12015292724</v>
      </c>
      <c r="Q176" s="25">
        <v>2791606514.0071173</v>
      </c>
      <c r="R176" s="25">
        <v>2789966960.5763822</v>
      </c>
      <c r="S176" s="25">
        <v>2638808540.2824812</v>
      </c>
      <c r="T176" s="25">
        <v>2648823817.286437</v>
      </c>
      <c r="U176" s="25">
        <v>2650863800.3630443</v>
      </c>
      <c r="V176" s="25">
        <v>2671037655.2038937</v>
      </c>
      <c r="W176" s="26">
        <v>2719611122.9855485</v>
      </c>
    </row>
    <row r="177" spans="1:23" x14ac:dyDescent="0.3">
      <c r="A177" s="6">
        <v>1902</v>
      </c>
      <c r="B177" s="7" t="s">
        <v>723</v>
      </c>
      <c r="C177" s="7" t="s">
        <v>750</v>
      </c>
      <c r="D177" s="7" t="s">
        <v>751</v>
      </c>
      <c r="E177" s="7" t="s">
        <v>752</v>
      </c>
      <c r="F177" s="7"/>
      <c r="G177" s="7"/>
      <c r="H177" s="7"/>
      <c r="I177" s="7"/>
      <c r="J177" s="7"/>
      <c r="K177" s="17" t="s">
        <v>183</v>
      </c>
      <c r="L177" s="7" t="s">
        <v>183</v>
      </c>
      <c r="M177" s="7" t="s">
        <v>183</v>
      </c>
      <c r="N177" s="6" t="s">
        <v>183</v>
      </c>
      <c r="O177" s="19"/>
      <c r="P177" s="15">
        <f t="shared" si="6"/>
        <v>21359.424027063633</v>
      </c>
      <c r="Q177" s="23">
        <v>216997012.1383397</v>
      </c>
      <c r="R177" s="23">
        <v>216605425.85085547</v>
      </c>
      <c r="S177" s="23">
        <v>207834391.40513116</v>
      </c>
      <c r="T177" s="23">
        <v>208926348.77738565</v>
      </c>
      <c r="U177" s="23">
        <v>212518495.11369517</v>
      </c>
      <c r="V177" s="23">
        <v>215152071.68665984</v>
      </c>
      <c r="W177" s="24">
        <v>217125936.9223873</v>
      </c>
    </row>
    <row r="178" spans="1:23" x14ac:dyDescent="0.3">
      <c r="A178" s="6">
        <v>1903</v>
      </c>
      <c r="B178" s="7" t="s">
        <v>724</v>
      </c>
      <c r="C178" s="7" t="s">
        <v>753</v>
      </c>
      <c r="D178" s="7" t="s">
        <v>754</v>
      </c>
      <c r="E178" s="7" t="s">
        <v>755</v>
      </c>
      <c r="F178" s="7"/>
      <c r="G178" s="7"/>
      <c r="H178" s="7"/>
      <c r="I178" s="7"/>
      <c r="J178" s="7"/>
      <c r="K178" s="7" t="s">
        <v>183</v>
      </c>
      <c r="L178" s="7" t="s">
        <v>183</v>
      </c>
      <c r="M178" s="7" t="s">
        <v>183</v>
      </c>
      <c r="N178" s="6" t="s">
        <v>183</v>
      </c>
      <c r="O178" s="19"/>
      <c r="P178" s="15">
        <f t="shared" si="6"/>
        <v>2102.0371285714286</v>
      </c>
      <c r="Q178" s="25">
        <v>18656345.5</v>
      </c>
      <c r="R178" s="25">
        <v>18638224.5</v>
      </c>
      <c r="S178" s="25">
        <v>17362430.5</v>
      </c>
      <c r="T178" s="25">
        <v>17447942.5</v>
      </c>
      <c r="U178" s="25">
        <v>19481767.5</v>
      </c>
      <c r="V178" s="25">
        <v>23725950</v>
      </c>
      <c r="W178" s="26">
        <v>31829938.5</v>
      </c>
    </row>
    <row r="179" spans="1:23" x14ac:dyDescent="0.3">
      <c r="A179" s="6">
        <v>1904</v>
      </c>
      <c r="B179" s="7" t="s">
        <v>725</v>
      </c>
      <c r="C179" s="7" t="s">
        <v>756</v>
      </c>
      <c r="D179" s="7" t="s">
        <v>757</v>
      </c>
      <c r="E179" s="7" t="s">
        <v>758</v>
      </c>
      <c r="F179" s="7"/>
      <c r="G179" s="7"/>
      <c r="H179" s="7"/>
      <c r="I179" s="7"/>
      <c r="J179" s="7"/>
      <c r="K179" s="17" t="s">
        <v>183</v>
      </c>
      <c r="L179" s="7" t="s">
        <v>183</v>
      </c>
      <c r="M179" s="7" t="s">
        <v>183</v>
      </c>
      <c r="N179" s="6" t="s">
        <v>183</v>
      </c>
      <c r="O179" s="19"/>
      <c r="P179" s="15">
        <f t="shared" si="6"/>
        <v>850.89114782717286</v>
      </c>
      <c r="Q179" s="23">
        <v>8021719.5</v>
      </c>
      <c r="R179" s="23">
        <v>7969019.5</v>
      </c>
      <c r="S179" s="23">
        <v>7930426.5</v>
      </c>
      <c r="T179" s="23">
        <v>7984809.25</v>
      </c>
      <c r="U179" s="23">
        <v>8372013.711538461</v>
      </c>
      <c r="V179" s="23">
        <v>9184003.75</v>
      </c>
      <c r="W179" s="24">
        <v>10100388.136363637</v>
      </c>
    </row>
    <row r="180" spans="1:23" x14ac:dyDescent="0.3">
      <c r="A180" s="6">
        <v>1905</v>
      </c>
      <c r="B180" s="7" t="s">
        <v>726</v>
      </c>
      <c r="C180" s="7" t="s">
        <v>759</v>
      </c>
      <c r="D180" s="7" t="s">
        <v>760</v>
      </c>
      <c r="E180" s="7" t="s">
        <v>761</v>
      </c>
      <c r="F180" s="7"/>
      <c r="G180" s="7"/>
      <c r="H180" s="7"/>
      <c r="I180" s="7"/>
      <c r="J180" s="7"/>
      <c r="K180" s="7" t="s">
        <v>183</v>
      </c>
      <c r="L180" s="7" t="s">
        <v>183</v>
      </c>
      <c r="M180" s="7" t="s">
        <v>183</v>
      </c>
      <c r="N180" s="6" t="s">
        <v>183</v>
      </c>
      <c r="O180" s="19"/>
      <c r="P180" s="15">
        <f t="shared" si="6"/>
        <v>273652.62614822033</v>
      </c>
      <c r="Q180" s="25">
        <v>2814170107.6763806</v>
      </c>
      <c r="R180" s="25">
        <v>2812677529.8197212</v>
      </c>
      <c r="S180" s="25">
        <v>2702986340.079494</v>
      </c>
      <c r="T180" s="25">
        <v>2708970631.8123164</v>
      </c>
      <c r="U180" s="25">
        <v>2690479379.4929771</v>
      </c>
      <c r="V180" s="25">
        <v>2695529294.7000599</v>
      </c>
      <c r="W180" s="26">
        <v>2730870546.7944689</v>
      </c>
    </row>
    <row r="181" spans="1:23" x14ac:dyDescent="0.3">
      <c r="A181" s="6">
        <v>1906</v>
      </c>
      <c r="B181" s="7" t="s">
        <v>727</v>
      </c>
      <c r="C181" s="7" t="s">
        <v>762</v>
      </c>
      <c r="D181" s="7" t="s">
        <v>763</v>
      </c>
      <c r="E181" s="7" t="s">
        <v>764</v>
      </c>
      <c r="F181" s="7"/>
      <c r="G181" s="7"/>
      <c r="H181" s="7"/>
      <c r="I181" s="7"/>
      <c r="J181" s="7"/>
      <c r="K181" s="17" t="s">
        <v>183</v>
      </c>
      <c r="L181" s="7" t="s">
        <v>183</v>
      </c>
      <c r="M181" s="7" t="s">
        <v>183</v>
      </c>
      <c r="N181" s="6" t="s">
        <v>183</v>
      </c>
      <c r="O181" s="19"/>
      <c r="P181" s="15">
        <f t="shared" si="6"/>
        <v>27633.425315552719</v>
      </c>
      <c r="Q181" s="23">
        <v>266773686.06559753</v>
      </c>
      <c r="R181" s="23">
        <v>266583490.78928176</v>
      </c>
      <c r="S181" s="23">
        <v>263544301.55206454</v>
      </c>
      <c r="T181" s="23">
        <v>264679469.31327441</v>
      </c>
      <c r="U181" s="23">
        <v>268996991.25105721</v>
      </c>
      <c r="V181" s="23">
        <v>295974705.82798028</v>
      </c>
      <c r="W181" s="24">
        <v>307787127.28943479</v>
      </c>
    </row>
    <row r="182" spans="1:23" x14ac:dyDescent="0.3">
      <c r="A182" s="6">
        <v>1907</v>
      </c>
      <c r="B182" s="7" t="s">
        <v>728</v>
      </c>
      <c r="C182" s="7" t="s">
        <v>765</v>
      </c>
      <c r="D182" s="7" t="s">
        <v>765</v>
      </c>
      <c r="E182" s="7" t="s">
        <v>766</v>
      </c>
      <c r="F182" s="7"/>
      <c r="G182" s="7"/>
      <c r="H182" s="7"/>
      <c r="I182" s="7"/>
      <c r="J182" s="7"/>
      <c r="K182" s="7" t="s">
        <v>183</v>
      </c>
      <c r="L182" s="7" t="s">
        <v>183</v>
      </c>
      <c r="M182" s="7" t="s">
        <v>183</v>
      </c>
      <c r="N182" s="6" t="s">
        <v>183</v>
      </c>
      <c r="O182" s="19"/>
      <c r="P182" s="15">
        <f t="shared" si="6"/>
        <v>95986.18384285715</v>
      </c>
      <c r="Q182" s="25">
        <v>1012778860</v>
      </c>
      <c r="R182" s="25">
        <v>1012767710</v>
      </c>
      <c r="S182" s="25">
        <v>1004522081.5</v>
      </c>
      <c r="T182" s="25">
        <v>953695500.5</v>
      </c>
      <c r="U182" s="25">
        <v>945013169</v>
      </c>
      <c r="V182" s="25">
        <v>922317743.5</v>
      </c>
      <c r="W182" s="26">
        <v>867937804.5</v>
      </c>
    </row>
    <row r="183" spans="1:23" x14ac:dyDescent="0.3">
      <c r="A183" s="6">
        <v>1908</v>
      </c>
      <c r="B183" s="7" t="s">
        <v>729</v>
      </c>
      <c r="C183" s="7" t="s">
        <v>767</v>
      </c>
      <c r="D183" s="7" t="s">
        <v>768</v>
      </c>
      <c r="E183" s="7" t="s">
        <v>769</v>
      </c>
      <c r="F183" s="7"/>
      <c r="G183" s="7"/>
      <c r="H183" s="7"/>
      <c r="I183" s="7"/>
      <c r="J183" s="7"/>
      <c r="K183" s="17" t="s">
        <v>183</v>
      </c>
      <c r="L183" s="7" t="s">
        <v>183</v>
      </c>
      <c r="M183" s="7" t="s">
        <v>183</v>
      </c>
      <c r="N183" s="6" t="s">
        <v>183</v>
      </c>
      <c r="O183" s="19"/>
      <c r="P183" s="15">
        <f t="shared" si="6"/>
        <v>4084.591375</v>
      </c>
      <c r="Q183" s="23">
        <v>0</v>
      </c>
      <c r="R183" s="23">
        <v>0</v>
      </c>
      <c r="S183" s="23">
        <v>0</v>
      </c>
      <c r="T183" s="23">
        <v>49863219.5</v>
      </c>
      <c r="U183" s="23">
        <v>47881415.5</v>
      </c>
      <c r="V183" s="23">
        <v>38750667.5</v>
      </c>
      <c r="W183" s="24">
        <v>26888352.5</v>
      </c>
    </row>
    <row r="184" spans="1:23" x14ac:dyDescent="0.3">
      <c r="A184" s="6">
        <v>1909</v>
      </c>
      <c r="B184" s="7" t="s">
        <v>730</v>
      </c>
      <c r="C184" s="7" t="s">
        <v>770</v>
      </c>
      <c r="D184" s="7" t="s">
        <v>771</v>
      </c>
      <c r="E184" s="7" t="s">
        <v>772</v>
      </c>
      <c r="F184" s="7"/>
      <c r="G184" s="7"/>
      <c r="H184" s="7"/>
      <c r="I184" s="7"/>
      <c r="J184" s="7"/>
      <c r="K184" s="17" t="s">
        <v>194</v>
      </c>
      <c r="L184" s="7" t="s">
        <v>194</v>
      </c>
      <c r="M184" s="7" t="s">
        <v>194</v>
      </c>
      <c r="N184" s="6" t="s">
        <v>194</v>
      </c>
      <c r="O184" s="19"/>
      <c r="P184" s="15">
        <f t="shared" si="6"/>
        <v>223425.44403632887</v>
      </c>
      <c r="Q184" s="25">
        <v>2234484103.4208813</v>
      </c>
      <c r="R184" s="25">
        <v>2234583485.6233377</v>
      </c>
      <c r="S184" s="25">
        <v>2232933088.135756</v>
      </c>
      <c r="T184" s="25">
        <v>2234292666.5053449</v>
      </c>
      <c r="U184" s="25">
        <v>2234278556.8359003</v>
      </c>
      <c r="V184" s="25">
        <v>2234291127.4859004</v>
      </c>
      <c r="W184" s="26">
        <v>2234918054.5359006</v>
      </c>
    </row>
    <row r="185" spans="1:23" x14ac:dyDescent="0.3">
      <c r="A185" s="6">
        <v>1910</v>
      </c>
      <c r="B185" s="7" t="s">
        <v>731</v>
      </c>
      <c r="C185" s="7" t="s">
        <v>773</v>
      </c>
      <c r="D185" s="7" t="s">
        <v>774</v>
      </c>
      <c r="E185" s="7" t="s">
        <v>775</v>
      </c>
      <c r="F185" s="7"/>
      <c r="G185" s="7"/>
      <c r="H185" s="7"/>
      <c r="I185" s="7"/>
      <c r="J185" s="7"/>
      <c r="K185" s="7" t="s">
        <v>194</v>
      </c>
      <c r="L185" s="7" t="s">
        <v>194</v>
      </c>
      <c r="M185" s="7" t="s">
        <v>194</v>
      </c>
      <c r="N185" s="6" t="s">
        <v>194</v>
      </c>
      <c r="O185" s="19"/>
      <c r="P185" s="15">
        <f t="shared" si="6"/>
        <v>14073.13453830507</v>
      </c>
      <c r="Q185" s="23">
        <v>140818364.72616616</v>
      </c>
      <c r="R185" s="23">
        <v>140740364.24691969</v>
      </c>
      <c r="S185" s="23">
        <v>140563059.62191969</v>
      </c>
      <c r="T185" s="23">
        <v>140561234.77086198</v>
      </c>
      <c r="U185" s="23">
        <v>140689979.81169239</v>
      </c>
      <c r="V185" s="23">
        <v>140846037.81528878</v>
      </c>
      <c r="W185" s="24">
        <v>140900376.68850631</v>
      </c>
    </row>
    <row r="186" spans="1:23" x14ac:dyDescent="0.3">
      <c r="A186" s="6">
        <v>1911</v>
      </c>
      <c r="B186" s="7" t="s">
        <v>732</v>
      </c>
      <c r="C186" s="7" t="s">
        <v>776</v>
      </c>
      <c r="D186" s="7" t="s">
        <v>777</v>
      </c>
      <c r="E186" s="7" t="s">
        <v>778</v>
      </c>
      <c r="F186" s="7"/>
      <c r="G186" s="7"/>
      <c r="H186" s="7"/>
      <c r="I186" s="7"/>
      <c r="J186" s="7"/>
      <c r="K186" s="7" t="s">
        <v>853</v>
      </c>
      <c r="L186" s="7" t="s">
        <v>853</v>
      </c>
      <c r="M186" s="7" t="s">
        <v>853</v>
      </c>
      <c r="N186" s="6" t="s">
        <v>853</v>
      </c>
      <c r="O186" s="19"/>
      <c r="P186" s="15">
        <f t="shared" si="6"/>
        <v>12144.005034603775</v>
      </c>
      <c r="Q186" s="25">
        <v>132537695.07097863</v>
      </c>
      <c r="R186" s="25">
        <v>120638204.52681401</v>
      </c>
      <c r="S186" s="25">
        <v>109814368.25081873</v>
      </c>
      <c r="T186" s="25">
        <v>111464762.07946576</v>
      </c>
      <c r="U186" s="25">
        <v>122123085.03060369</v>
      </c>
      <c r="V186" s="25">
        <v>126802149.01138467</v>
      </c>
      <c r="W186" s="26">
        <v>126700088.45219886</v>
      </c>
    </row>
    <row r="187" spans="1:23" x14ac:dyDescent="0.3">
      <c r="A187" s="6">
        <v>1912</v>
      </c>
      <c r="B187" s="7" t="s">
        <v>733</v>
      </c>
      <c r="C187" s="7" t="s">
        <v>779</v>
      </c>
      <c r="D187" s="7" t="s">
        <v>780</v>
      </c>
      <c r="E187" s="7" t="s">
        <v>781</v>
      </c>
      <c r="F187" s="7"/>
      <c r="G187" s="7"/>
      <c r="H187" s="7"/>
      <c r="I187" s="7"/>
      <c r="J187" s="7"/>
      <c r="K187" s="7" t="s">
        <v>133</v>
      </c>
      <c r="L187" s="7" t="s">
        <v>133</v>
      </c>
      <c r="M187" s="7" t="s">
        <v>133</v>
      </c>
      <c r="N187" s="6" t="s">
        <v>133</v>
      </c>
      <c r="O187" s="19"/>
      <c r="P187" s="15">
        <f t="shared" si="6"/>
        <v>11264.472725284761</v>
      </c>
      <c r="Q187" s="23">
        <v>120643840.92476563</v>
      </c>
      <c r="R187" s="23">
        <v>109473723.34358749</v>
      </c>
      <c r="S187" s="23">
        <v>109341419.7763485</v>
      </c>
      <c r="T187" s="23">
        <v>110936176.00897023</v>
      </c>
      <c r="U187" s="23">
        <v>111776326.68070024</v>
      </c>
      <c r="V187" s="23">
        <v>112709029.50204857</v>
      </c>
      <c r="W187" s="24">
        <v>113632574.53351247</v>
      </c>
    </row>
    <row r="188" spans="1:23" x14ac:dyDescent="0.3">
      <c r="A188" s="6">
        <v>1913</v>
      </c>
      <c r="B188" s="7" t="s">
        <v>734</v>
      </c>
      <c r="C188" s="7" t="s">
        <v>782</v>
      </c>
      <c r="D188" s="7" t="s">
        <v>783</v>
      </c>
      <c r="E188" s="7" t="s">
        <v>784</v>
      </c>
      <c r="F188" s="7"/>
      <c r="G188" s="7"/>
      <c r="H188" s="7"/>
      <c r="I188" s="7"/>
      <c r="J188" s="7"/>
      <c r="K188" s="7" t="s">
        <v>133</v>
      </c>
      <c r="L188" s="7" t="s">
        <v>133</v>
      </c>
      <c r="M188" s="7" t="s">
        <v>133</v>
      </c>
      <c r="N188" s="6" t="s">
        <v>133</v>
      </c>
      <c r="O188" s="19"/>
      <c r="P188" s="15">
        <f t="shared" si="6"/>
        <v>51810.236887944629</v>
      </c>
      <c r="Q188" s="25">
        <v>540663809.44551277</v>
      </c>
      <c r="R188" s="25">
        <v>539430297.67921305</v>
      </c>
      <c r="S188" s="25">
        <v>510820302.6811949</v>
      </c>
      <c r="T188" s="25">
        <v>513149249.28467613</v>
      </c>
      <c r="U188" s="25">
        <v>509340323.10594499</v>
      </c>
      <c r="V188" s="25">
        <v>507504729.48753053</v>
      </c>
      <c r="W188" s="26">
        <v>505807870.47205156</v>
      </c>
    </row>
    <row r="189" spans="1:23" x14ac:dyDescent="0.3">
      <c r="A189" s="6">
        <v>1914</v>
      </c>
      <c r="B189" s="7" t="s">
        <v>735</v>
      </c>
      <c r="C189" s="7" t="s">
        <v>785</v>
      </c>
      <c r="D189" s="7" t="s">
        <v>786</v>
      </c>
      <c r="E189" s="7" t="s">
        <v>787</v>
      </c>
      <c r="F189" s="7"/>
      <c r="G189" s="7"/>
      <c r="H189" s="7"/>
      <c r="I189" s="7"/>
      <c r="J189" s="7"/>
      <c r="K189" s="7" t="s">
        <v>133</v>
      </c>
      <c r="L189" s="7" t="s">
        <v>133</v>
      </c>
      <c r="M189" s="7" t="s">
        <v>133</v>
      </c>
      <c r="N189" s="6" t="s">
        <v>133</v>
      </c>
      <c r="O189" s="19"/>
      <c r="P189" s="15">
        <f t="shared" si="6"/>
        <v>27540.417997003238</v>
      </c>
      <c r="Q189" s="23">
        <v>285720086.41504097</v>
      </c>
      <c r="R189" s="23">
        <v>275139915.05634904</v>
      </c>
      <c r="S189" s="23">
        <v>263768061.32528293</v>
      </c>
      <c r="T189" s="23">
        <v>268637841.22449881</v>
      </c>
      <c r="U189" s="23">
        <v>269424256.16113597</v>
      </c>
      <c r="V189" s="23">
        <v>279881831.83146226</v>
      </c>
      <c r="W189" s="24">
        <v>285257267.77645671</v>
      </c>
    </row>
    <row r="190" spans="1:23" x14ac:dyDescent="0.3">
      <c r="A190" s="6">
        <v>1915</v>
      </c>
      <c r="B190" s="7" t="s">
        <v>736</v>
      </c>
      <c r="C190" s="7" t="s">
        <v>788</v>
      </c>
      <c r="D190" s="7" t="s">
        <v>789</v>
      </c>
      <c r="E190" s="7" t="s">
        <v>790</v>
      </c>
      <c r="F190" s="7"/>
      <c r="G190" s="7"/>
      <c r="H190" s="7"/>
      <c r="I190" s="7"/>
      <c r="J190" s="7"/>
      <c r="K190" s="7" t="s">
        <v>133</v>
      </c>
      <c r="L190" s="7" t="s">
        <v>133</v>
      </c>
      <c r="M190" s="7" t="s">
        <v>133</v>
      </c>
      <c r="N190" s="6" t="s">
        <v>133</v>
      </c>
      <c r="O190" s="19"/>
      <c r="P190" s="15">
        <f t="shared" si="6"/>
        <v>1090777.630259081</v>
      </c>
      <c r="Q190" s="25">
        <v>11179558292.506681</v>
      </c>
      <c r="R190" s="25">
        <v>11035735330.551266</v>
      </c>
      <c r="S190" s="25">
        <v>10871379755.496529</v>
      </c>
      <c r="T190" s="25">
        <v>10805051386.942614</v>
      </c>
      <c r="U190" s="25">
        <v>10810312563.195505</v>
      </c>
      <c r="V190" s="25">
        <v>10817581981.333311</v>
      </c>
      <c r="W190" s="26">
        <v>10834814808.109787</v>
      </c>
    </row>
    <row r="191" spans="1:23" x14ac:dyDescent="0.3">
      <c r="A191" s="6">
        <v>1921</v>
      </c>
      <c r="B191" s="7" t="s">
        <v>737</v>
      </c>
      <c r="C191" s="7" t="s">
        <v>791</v>
      </c>
      <c r="D191" s="7" t="s">
        <v>792</v>
      </c>
      <c r="E191" s="7" t="s">
        <v>793</v>
      </c>
      <c r="F191" s="7"/>
      <c r="G191" s="7"/>
      <c r="H191" s="7"/>
      <c r="I191" s="7"/>
      <c r="J191" s="7"/>
      <c r="K191" s="3" t="s">
        <v>871</v>
      </c>
      <c r="L191" s="3" t="s">
        <v>871</v>
      </c>
      <c r="M191" s="3" t="s">
        <v>871</v>
      </c>
      <c r="N191" s="2" t="s">
        <v>871</v>
      </c>
      <c r="O191" s="16"/>
      <c r="P191" s="15">
        <f t="shared" si="6"/>
        <v>52009.104355739102</v>
      </c>
      <c r="Q191" s="23">
        <v>532286475.36281502</v>
      </c>
      <c r="R191" s="23">
        <v>517937365.13595217</v>
      </c>
      <c r="S191" s="23">
        <v>515296790.25428319</v>
      </c>
      <c r="T191" s="23">
        <v>518741817.69273919</v>
      </c>
      <c r="U191" s="23">
        <v>518454819.52346098</v>
      </c>
      <c r="V191" s="23">
        <v>518555026.10193658</v>
      </c>
      <c r="W191" s="24">
        <v>519365010.83055019</v>
      </c>
    </row>
    <row r="192" spans="1:23" s="12" customFormat="1" x14ac:dyDescent="0.3">
      <c r="A192" s="10">
        <v>1922</v>
      </c>
      <c r="B192" s="11" t="s">
        <v>738</v>
      </c>
      <c r="C192" s="11" t="s">
        <v>794</v>
      </c>
      <c r="D192" s="11" t="s">
        <v>795</v>
      </c>
      <c r="E192" s="11" t="s">
        <v>796</v>
      </c>
      <c r="F192" s="11"/>
      <c r="G192" s="11"/>
      <c r="H192" s="11"/>
      <c r="I192" s="11"/>
      <c r="J192" s="11"/>
      <c r="K192" s="3" t="s">
        <v>871</v>
      </c>
      <c r="L192" s="3" t="s">
        <v>871</v>
      </c>
      <c r="M192" s="3" t="s">
        <v>871</v>
      </c>
      <c r="N192" s="10" t="s">
        <v>871</v>
      </c>
      <c r="O192" s="21"/>
      <c r="P192" s="15">
        <f t="shared" si="6"/>
        <v>6550.5173534548949</v>
      </c>
      <c r="Q192" s="25">
        <v>64432962.967853129</v>
      </c>
      <c r="R192" s="25">
        <v>64277028.284120247</v>
      </c>
      <c r="S192" s="25">
        <v>64057254.47075475</v>
      </c>
      <c r="T192" s="25">
        <v>64034434.992669404</v>
      </c>
      <c r="U192" s="25">
        <v>67302990.256134599</v>
      </c>
      <c r="V192" s="25">
        <v>67208597.113551736</v>
      </c>
      <c r="W192" s="26">
        <v>67222946.656758785</v>
      </c>
    </row>
    <row r="193" spans="1:23" s="12" customFormat="1" x14ac:dyDescent="0.3">
      <c r="A193" s="13">
        <v>1923</v>
      </c>
      <c r="B193" s="14" t="s">
        <v>739</v>
      </c>
      <c r="C193" s="14" t="s">
        <v>797</v>
      </c>
      <c r="D193" s="14" t="s">
        <v>798</v>
      </c>
      <c r="E193" s="14" t="s">
        <v>799</v>
      </c>
      <c r="F193" s="14"/>
      <c r="G193" s="14"/>
      <c r="H193" s="14"/>
      <c r="I193" s="14"/>
      <c r="J193" s="14"/>
      <c r="K193" s="3" t="s">
        <v>871</v>
      </c>
      <c r="L193" s="3" t="s">
        <v>871</v>
      </c>
      <c r="M193" s="3" t="s">
        <v>871</v>
      </c>
      <c r="N193" s="10" t="s">
        <v>871</v>
      </c>
      <c r="O193" s="21"/>
      <c r="P193" s="15">
        <f t="shared" si="6"/>
        <v>55985.331225945498</v>
      </c>
      <c r="Q193" s="23">
        <v>539531327.44295692</v>
      </c>
      <c r="R193" s="23">
        <v>537846976.68445396</v>
      </c>
      <c r="S193" s="23">
        <v>545900322.16596735</v>
      </c>
      <c r="T193" s="23">
        <v>551932670.52746928</v>
      </c>
      <c r="U193" s="23">
        <v>558096043.83385062</v>
      </c>
      <c r="V193" s="23">
        <v>579799599.18147409</v>
      </c>
      <c r="W193" s="24">
        <v>605866245.98001206</v>
      </c>
    </row>
    <row r="194" spans="1:23" s="12" customFormat="1" x14ac:dyDescent="0.3">
      <c r="A194" s="10">
        <v>1924</v>
      </c>
      <c r="B194" s="11" t="s">
        <v>740</v>
      </c>
      <c r="C194" s="11" t="s">
        <v>800</v>
      </c>
      <c r="D194" s="11" t="s">
        <v>801</v>
      </c>
      <c r="E194" s="11" t="s">
        <v>802</v>
      </c>
      <c r="F194" s="11"/>
      <c r="G194" s="11"/>
      <c r="H194" s="11"/>
      <c r="I194" s="11"/>
      <c r="J194" s="11"/>
      <c r="K194" s="3" t="s">
        <v>871</v>
      </c>
      <c r="L194" s="3" t="s">
        <v>871</v>
      </c>
      <c r="M194" s="3" t="s">
        <v>871</v>
      </c>
      <c r="N194" s="10" t="s">
        <v>871</v>
      </c>
      <c r="O194" s="21"/>
      <c r="P194" s="15">
        <f t="shared" si="6"/>
        <v>2650.4389678571429</v>
      </c>
      <c r="Q194" s="25">
        <v>26443230.5</v>
      </c>
      <c r="R194" s="25">
        <v>26372005.125</v>
      </c>
      <c r="S194" s="25">
        <v>26400641.625</v>
      </c>
      <c r="T194" s="25">
        <v>26603876.5</v>
      </c>
      <c r="U194" s="25">
        <v>26608224.5</v>
      </c>
      <c r="V194" s="25">
        <v>26522471</v>
      </c>
      <c r="W194" s="26">
        <v>26580278.5</v>
      </c>
    </row>
    <row r="195" spans="1:23" s="12" customFormat="1" x14ac:dyDescent="0.3">
      <c r="A195" s="13">
        <v>1925</v>
      </c>
      <c r="B195" s="14" t="s">
        <v>741</v>
      </c>
      <c r="C195" s="14" t="s">
        <v>803</v>
      </c>
      <c r="D195" s="14" t="s">
        <v>804</v>
      </c>
      <c r="E195" s="14" t="s">
        <v>805</v>
      </c>
      <c r="F195" s="14"/>
      <c r="G195" s="14"/>
      <c r="H195" s="14"/>
      <c r="I195" s="14"/>
      <c r="J195" s="14"/>
      <c r="K195" s="3" t="s">
        <v>871</v>
      </c>
      <c r="L195" s="3" t="s">
        <v>871</v>
      </c>
      <c r="M195" s="3" t="s">
        <v>871</v>
      </c>
      <c r="N195" s="10" t="s">
        <v>871</v>
      </c>
      <c r="O195" s="21"/>
      <c r="P195" s="15">
        <f t="shared" si="6"/>
        <v>491.4368412231529</v>
      </c>
      <c r="Q195" s="23">
        <v>4480876.1387929013</v>
      </c>
      <c r="R195" s="23">
        <v>4403442.8523131581</v>
      </c>
      <c r="S195" s="23">
        <v>4695608.4812670052</v>
      </c>
      <c r="T195" s="23">
        <v>4986896.8235172369</v>
      </c>
      <c r="U195" s="23">
        <v>5224110.5076334467</v>
      </c>
      <c r="V195" s="23">
        <v>5226676.9687445574</v>
      </c>
      <c r="W195" s="24">
        <v>5382967.1133524012</v>
      </c>
    </row>
    <row r="196" spans="1:23" s="12" customFormat="1" x14ac:dyDescent="0.3">
      <c r="A196" s="10">
        <v>1926</v>
      </c>
      <c r="B196" s="11" t="s">
        <v>742</v>
      </c>
      <c r="C196" s="11" t="s">
        <v>806</v>
      </c>
      <c r="D196" s="11" t="s">
        <v>807</v>
      </c>
      <c r="E196" s="11" t="s">
        <v>808</v>
      </c>
      <c r="F196" s="11"/>
      <c r="G196" s="11"/>
      <c r="H196" s="11"/>
      <c r="I196" s="11"/>
      <c r="J196" s="11"/>
      <c r="K196" s="3" t="s">
        <v>871</v>
      </c>
      <c r="L196" s="3" t="s">
        <v>871</v>
      </c>
      <c r="M196" s="3" t="s">
        <v>871</v>
      </c>
      <c r="N196" s="10" t="s">
        <v>871</v>
      </c>
      <c r="O196" s="21"/>
      <c r="P196" s="15">
        <f t="shared" si="6"/>
        <v>829.08574214599309</v>
      </c>
      <c r="Q196" s="25">
        <v>8460611.4176845383</v>
      </c>
      <c r="R196" s="25">
        <v>8322993.8092005895</v>
      </c>
      <c r="S196" s="25">
        <v>8372238.3247531597</v>
      </c>
      <c r="T196" s="25">
        <v>8350323.9887167905</v>
      </c>
      <c r="U196" s="25">
        <v>8158162.8190318532</v>
      </c>
      <c r="V196" s="25">
        <v>8151821.2246653838</v>
      </c>
      <c r="W196" s="26">
        <v>8219850.3661672045</v>
      </c>
    </row>
    <row r="197" spans="1:23" s="12" customFormat="1" x14ac:dyDescent="0.3">
      <c r="A197" s="13">
        <v>1927</v>
      </c>
      <c r="B197" s="14" t="s">
        <v>743</v>
      </c>
      <c r="C197" s="14" t="s">
        <v>809</v>
      </c>
      <c r="D197" s="14" t="s">
        <v>810</v>
      </c>
      <c r="E197" s="14" t="s">
        <v>811</v>
      </c>
      <c r="F197" s="14"/>
      <c r="G197" s="14"/>
      <c r="H197" s="14"/>
      <c r="I197" s="14"/>
      <c r="J197" s="14"/>
      <c r="K197" s="3" t="s">
        <v>871</v>
      </c>
      <c r="L197" s="3" t="s">
        <v>871</v>
      </c>
      <c r="M197" s="3" t="s">
        <v>871</v>
      </c>
      <c r="N197" s="10" t="s">
        <v>871</v>
      </c>
      <c r="O197" s="21"/>
      <c r="P197" s="15">
        <f t="shared" si="6"/>
        <v>1051.6849218430239</v>
      </c>
      <c r="Q197" s="23">
        <v>10734695.413197685</v>
      </c>
      <c r="R197" s="23">
        <v>10352219.406428279</v>
      </c>
      <c r="S197" s="23">
        <v>10310398.823800938</v>
      </c>
      <c r="T197" s="23">
        <v>10467839.996269887</v>
      </c>
      <c r="U197" s="23">
        <v>10421374.142147427</v>
      </c>
      <c r="V197" s="23">
        <v>10481408.495246787</v>
      </c>
      <c r="W197" s="24">
        <v>10850008.251920663</v>
      </c>
    </row>
    <row r="198" spans="1:23" s="12" customFormat="1" x14ac:dyDescent="0.3">
      <c r="A198" s="10">
        <v>1928</v>
      </c>
      <c r="B198" s="11" t="s">
        <v>744</v>
      </c>
      <c r="C198" s="11" t="s">
        <v>812</v>
      </c>
      <c r="D198" s="11" t="s">
        <v>813</v>
      </c>
      <c r="E198" s="11" t="s">
        <v>814</v>
      </c>
      <c r="F198" s="17"/>
      <c r="G198" s="17"/>
      <c r="H198" s="17"/>
      <c r="I198" s="17"/>
      <c r="J198" s="17"/>
      <c r="K198" s="14" t="s">
        <v>183</v>
      </c>
      <c r="L198" s="14" t="s">
        <v>183</v>
      </c>
      <c r="M198" s="14" t="s">
        <v>183</v>
      </c>
      <c r="N198" s="10" t="s">
        <v>183</v>
      </c>
      <c r="O198" s="21"/>
      <c r="P198" s="15">
        <f t="shared" si="6"/>
        <v>2942.5818641909427</v>
      </c>
      <c r="Q198" s="25">
        <v>0</v>
      </c>
      <c r="R198" s="25">
        <v>0</v>
      </c>
      <c r="S198" s="25">
        <v>0</v>
      </c>
      <c r="T198" s="25">
        <v>0</v>
      </c>
      <c r="U198" s="25">
        <v>29526013.351061124</v>
      </c>
      <c r="V198" s="25">
        <v>29325623.932757735</v>
      </c>
      <c r="W198" s="26">
        <v>0</v>
      </c>
    </row>
    <row r="199" spans="1:23" s="12" customFormat="1" x14ac:dyDescent="0.3">
      <c r="A199" s="13">
        <v>1929</v>
      </c>
      <c r="B199" s="14" t="s">
        <v>745</v>
      </c>
      <c r="C199" s="14" t="s">
        <v>815</v>
      </c>
      <c r="D199" s="14" t="s">
        <v>816</v>
      </c>
      <c r="E199" s="14" t="s">
        <v>817</v>
      </c>
      <c r="F199" s="14"/>
      <c r="G199" s="14"/>
      <c r="H199" s="14"/>
      <c r="I199" s="14"/>
      <c r="J199" s="14"/>
      <c r="K199" s="3" t="s">
        <v>871</v>
      </c>
      <c r="L199" s="3" t="s">
        <v>871</v>
      </c>
      <c r="M199" s="3" t="s">
        <v>871</v>
      </c>
      <c r="N199" s="10" t="s">
        <v>871</v>
      </c>
      <c r="O199" s="21"/>
      <c r="P199" s="15">
        <f t="shared" si="6"/>
        <v>1194.0955997139467</v>
      </c>
      <c r="Q199" s="23">
        <v>12188253.559108902</v>
      </c>
      <c r="R199" s="23">
        <v>12096403.301627288</v>
      </c>
      <c r="S199" s="23">
        <v>11939783.002268797</v>
      </c>
      <c r="T199" s="23">
        <v>11910795.054924015</v>
      </c>
      <c r="U199" s="23">
        <v>11836637.501328193</v>
      </c>
      <c r="V199" s="23">
        <v>11821150.328413302</v>
      </c>
      <c r="W199" s="24">
        <v>11793669.232305758</v>
      </c>
    </row>
    <row r="200" spans="1:23" s="12" customFormat="1" x14ac:dyDescent="0.3">
      <c r="A200" s="10">
        <v>1930</v>
      </c>
      <c r="B200" s="11" t="s">
        <v>746</v>
      </c>
      <c r="C200" s="11" t="s">
        <v>818</v>
      </c>
      <c r="D200" s="11" t="s">
        <v>819</v>
      </c>
      <c r="E200" s="11" t="s">
        <v>820</v>
      </c>
      <c r="F200" s="11"/>
      <c r="G200" s="11"/>
      <c r="H200" s="11"/>
      <c r="I200" s="11"/>
      <c r="J200" s="11"/>
      <c r="K200" s="3" t="s">
        <v>871</v>
      </c>
      <c r="L200" s="3" t="s">
        <v>871</v>
      </c>
      <c r="M200" s="3" t="s">
        <v>871</v>
      </c>
      <c r="N200" s="10" t="s">
        <v>871</v>
      </c>
      <c r="O200" s="21"/>
      <c r="P200" s="15">
        <f t="shared" si="6"/>
        <v>3025.8921385253611</v>
      </c>
      <c r="Q200" s="25">
        <v>29042374.918799825</v>
      </c>
      <c r="R200" s="25">
        <v>29040867.641180169</v>
      </c>
      <c r="S200" s="25">
        <v>29634672.518690899</v>
      </c>
      <c r="T200" s="25">
        <v>30412523.681566592</v>
      </c>
      <c r="U200" s="25">
        <v>30824611.505632099</v>
      </c>
      <c r="V200" s="25">
        <v>31233690.430589285</v>
      </c>
      <c r="W200" s="26">
        <v>31623709.0003164</v>
      </c>
    </row>
    <row r="201" spans="1:23" s="12" customFormat="1" x14ac:dyDescent="0.3">
      <c r="A201" s="28"/>
      <c r="B201" s="29"/>
      <c r="C201" s="29"/>
      <c r="D201" s="29"/>
      <c r="E201" s="29"/>
      <c r="F201" s="17"/>
      <c r="G201" s="17"/>
      <c r="H201" s="17"/>
      <c r="I201" s="17"/>
      <c r="J201" s="17"/>
      <c r="K201"/>
      <c r="L201" s="29"/>
      <c r="M201" s="29"/>
      <c r="N201" s="29"/>
      <c r="O201" s="30"/>
      <c r="P201" s="31"/>
      <c r="Q201" s="32"/>
      <c r="R201" s="32"/>
      <c r="S201" s="32"/>
      <c r="T201" s="32"/>
      <c r="U201" s="32"/>
      <c r="V201" s="32"/>
      <c r="W201" s="33"/>
    </row>
    <row r="202" spans="1:23" s="12" customFormat="1" x14ac:dyDescent="0.3">
      <c r="K202" s="38"/>
      <c r="P202" s="22"/>
    </row>
    <row r="203" spans="1:23" s="12" customFormat="1" x14ac:dyDescent="0.3">
      <c r="K203" s="38"/>
      <c r="P203" s="22"/>
    </row>
    <row r="204" spans="1:23" s="12" customFormat="1" x14ac:dyDescent="0.3">
      <c r="K204" s="38"/>
      <c r="P204" s="22"/>
    </row>
    <row r="205" spans="1:23" s="12" customFormat="1" x14ac:dyDescent="0.3">
      <c r="K205" s="38"/>
      <c r="P205" s="22"/>
    </row>
  </sheetData>
  <phoneticPr fontId="1" type="noConversion"/>
  <conditionalFormatting sqref="P2:P200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{2E736031-167E-4847-8EDB-C3A317EAC7F6}</x14:id>
        </ext>
      </extLst>
    </cfRule>
  </conditionalFormatting>
  <conditionalFormatting sqref="P2:P200"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{96923011-1FDC-4F03-91C6-F0A3296FD7A7}</x14:id>
        </ext>
      </extLst>
    </cfRule>
  </conditionalFormatting>
  <conditionalFormatting sqref="P126:P20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{41B923E6-C851-40E5-BEF8-F24412656ADD}</x14:id>
        </ext>
      </extLst>
    </cfRule>
  </conditionalFormatting>
  <conditionalFormatting sqref="P2:P20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{DEEB54F9-CCC6-431D-BA1B-B4FB0B4223A6}</x14:id>
        </ext>
      </extLst>
    </cfRule>
  </conditionalFormatting>
  <conditionalFormatting sqref="R45 R30 R92 R126 R142 R162:R168 R173:R174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{5B971BFB-BFE8-488E-8D4A-5944E8B074A9}</x14:id>
        </ext>
      </extLst>
    </cfRule>
  </conditionalFormatting>
  <conditionalFormatting sqref="P176:P20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{34F42719-7404-4BAA-A4DD-A0668894CB53}</x14:id>
        </ext>
      </extLst>
    </cfRule>
  </conditionalFormatting>
  <conditionalFormatting sqref="P2:P20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{CA9FD6B9-9B46-46F4-A9FE-72987964E8E1}</x14:id>
        </ext>
      </extLst>
    </cfRule>
  </conditionalFormatting>
  <conditionalFormatting sqref="Q4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{6EAAD06A-056F-4F1C-91D5-2F43B3E9003F}</x14:id>
        </ext>
      </extLst>
    </cfRule>
  </conditionalFormatting>
  <conditionalFormatting sqref="P1:P200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{B04E4DFB-A4FC-4B30-B25B-CF36CC334AE9}</x14:id>
        </ext>
      </extLst>
    </cfRule>
  </conditionalFormatting>
  <conditionalFormatting sqref="P1:P200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{CCDE0554-A586-4B86-A29A-380411B22659}</x14:id>
        </ext>
      </extLst>
    </cfRule>
  </conditionalFormatting>
  <conditionalFormatting sqref="P2:P200">
    <cfRule type="dataBar" priority="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{1D8D26BA-1304-4D76-AE52-63C00B266BD5}</x14:id>
        </ext>
      </extLst>
    </cfRule>
  </conditionalFormatting>
  <conditionalFormatting sqref="P126:P128 P134:P135 P141:P142 P148:P149 P155:P156 P162:P163 P197:P198 P169:P170 P176:P177 P183:P184 P190:P191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{EA7CE15D-4F33-4772-8F0A-C8C25542B72C}</x14:id>
        </ext>
      </extLst>
    </cfRule>
  </conditionalFormatting>
  <conditionalFormatting sqref="P129:P154 P157:P161 P164:P189 P199:P200 P192:P196"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{78C8D22D-F2C1-44FE-8E2B-2DFB4B95EC97}</x14:id>
        </ext>
      </extLst>
    </cfRule>
  </conditionalFormatting>
  <conditionalFormatting sqref="P152:P175 P187:P196">
    <cfRule type="dataBar" priority="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{D96340B7-4A1D-4514-8C84-57C58F25E2BE}</x14:id>
        </ext>
      </extLst>
    </cfRule>
  </conditionalFormatting>
  <conditionalFormatting sqref="P176:P200">
    <cfRule type="dataBar" priority="6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{21B9DFD7-3C42-47C3-B0D5-0EC743EA7D1C}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{90F8D4DF-37A8-427F-9318-BDAD94F6365E}</x14:id>
        </ext>
      </extLst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736031-167E-4847-8EDB-C3A317EAC7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P2:P200</xm:sqref>
        </x14:conditionalFormatting>
        <x14:conditionalFormatting xmlns:xm="http://schemas.microsoft.com/office/excel/2006/main">
          <x14:cfRule type="dataBar" id="{96923011-1FDC-4F03-91C6-F0A3296FD7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P2:P200</xm:sqref>
        </x14:conditionalFormatting>
        <x14:conditionalFormatting xmlns:xm="http://schemas.microsoft.com/office/excel/2006/main">
          <x14:cfRule type="dataBar" id="{41B923E6-C851-40E5-BEF8-F24412656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P126:P200</xm:sqref>
        </x14:conditionalFormatting>
        <x14:conditionalFormatting xmlns:xm="http://schemas.microsoft.com/office/excel/2006/main">
          <x14:cfRule type="dataBar" id="{DEEB54F9-CCC6-431D-BA1B-B4FB0B4223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P2:P200</xm:sqref>
        </x14:conditionalFormatting>
        <x14:conditionalFormatting xmlns:xm="http://schemas.microsoft.com/office/excel/2006/main">
          <x14:cfRule type="dataBar" id="{5B971BFB-BFE8-488E-8D4A-5944E8B0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R45 R30 R92 R126 R142 R162:R168 R173:R174</xm:sqref>
        </x14:conditionalFormatting>
        <x14:conditionalFormatting xmlns:xm="http://schemas.microsoft.com/office/excel/2006/main">
          <x14:cfRule type="dataBar" id="{34F42719-7404-4BAA-A4DD-A0668894CB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P176:P200</xm:sqref>
        </x14:conditionalFormatting>
        <x14:conditionalFormatting xmlns:xm="http://schemas.microsoft.com/office/excel/2006/main">
          <x14:cfRule type="dataBar" id="{CA9FD6B9-9B46-46F4-A9FE-72987964E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P2:P200</xm:sqref>
        </x14:conditionalFormatting>
        <x14:conditionalFormatting xmlns:xm="http://schemas.microsoft.com/office/excel/2006/main">
          <x14:cfRule type="dataBar" id="{6EAAD06A-056F-4F1C-91D5-2F43B3E900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B04E4DFB-A4FC-4B30-B25B-CF36CC334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P1:P200</xm:sqref>
        </x14:conditionalFormatting>
        <x14:conditionalFormatting xmlns:xm="http://schemas.microsoft.com/office/excel/2006/main">
          <x14:cfRule type="dataBar" id="{CCDE0554-A586-4B86-A29A-380411B226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P1:P200</xm:sqref>
        </x14:conditionalFormatting>
        <x14:conditionalFormatting xmlns:xm="http://schemas.microsoft.com/office/excel/2006/main">
          <x14:cfRule type="dataBar" id="{1D8D26BA-1304-4D76-AE52-63C00B266B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P2:P200</xm:sqref>
        </x14:conditionalFormatting>
        <x14:conditionalFormatting xmlns:xm="http://schemas.microsoft.com/office/excel/2006/main">
          <x14:cfRule type="dataBar" id="{EA7CE15D-4F33-4772-8F0A-C8C25542B7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P126:P128 P134:P135 P141:P142 P148:P149 P155:P156 P162:P163 P197:P198 P169:P170 P176:P177 P183:P184 P190:P191</xm:sqref>
        </x14:conditionalFormatting>
        <x14:conditionalFormatting xmlns:xm="http://schemas.microsoft.com/office/excel/2006/main">
          <x14:cfRule type="dataBar" id="{78C8D22D-F2C1-44FE-8E2B-2DFB4B95EC9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P129:P154 P157:P161 P164:P189 P199:P200 P192:P196</xm:sqref>
        </x14:conditionalFormatting>
        <x14:conditionalFormatting xmlns:xm="http://schemas.microsoft.com/office/excel/2006/main">
          <x14:cfRule type="dataBar" id="{D96340B7-4A1D-4514-8C84-57C58F25E2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P152:P175 P187:P196</xm:sqref>
        </x14:conditionalFormatting>
        <x14:conditionalFormatting xmlns:xm="http://schemas.microsoft.com/office/excel/2006/main">
          <x14:cfRule type="dataBar" id="{21B9DFD7-3C42-47C3-B0D5-0EC743EA7D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F8D4DF-37A8-427F-9318-BDAD94F63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P176:P200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4D1C-68EE-4042-9F94-373C14EDEB8D}">
  <dimension ref="A1:D161"/>
  <sheetViews>
    <sheetView workbookViewId="0">
      <selection activeCell="G25" sqref="G25"/>
    </sheetView>
  </sheetViews>
  <sheetFormatPr baseColWidth="10" defaultRowHeight="14" x14ac:dyDescent="0.3"/>
  <cols>
    <col min="1" max="1" width="11.5" customWidth="1"/>
    <col min="2" max="2" width="30.58203125" customWidth="1"/>
    <col min="3" max="3" width="33.5" customWidth="1"/>
    <col min="4" max="4" width="12.6640625" style="15" customWidth="1"/>
  </cols>
  <sheetData>
    <row r="1" spans="1:4" x14ac:dyDescent="0.3">
      <c r="A1" t="s">
        <v>0</v>
      </c>
      <c r="B1" t="s">
        <v>210</v>
      </c>
      <c r="C1" t="s">
        <v>384</v>
      </c>
      <c r="D1" s="15" t="s">
        <v>878</v>
      </c>
    </row>
    <row r="2" spans="1:4" x14ac:dyDescent="0.3">
      <c r="A2" s="6">
        <v>501</v>
      </c>
      <c r="B2" s="6" t="s">
        <v>1</v>
      </c>
      <c r="C2" s="6" t="s">
        <v>385</v>
      </c>
      <c r="D2" s="15">
        <v>3310104002</v>
      </c>
    </row>
    <row r="3" spans="1:4" x14ac:dyDescent="0.3">
      <c r="A3" s="6">
        <v>502</v>
      </c>
      <c r="B3" s="6" t="s">
        <v>2</v>
      </c>
      <c r="C3" s="6" t="s">
        <v>3</v>
      </c>
      <c r="D3">
        <v>3310104001</v>
      </c>
    </row>
    <row r="4" spans="1:4" x14ac:dyDescent="0.3">
      <c r="A4" s="6">
        <v>504</v>
      </c>
      <c r="B4" s="6" t="s">
        <v>4</v>
      </c>
      <c r="C4" s="6" t="s">
        <v>386</v>
      </c>
      <c r="D4">
        <v>3310105000</v>
      </c>
    </row>
    <row r="5" spans="1:4" x14ac:dyDescent="0.3">
      <c r="A5" s="6">
        <v>505</v>
      </c>
      <c r="B5" s="6" t="s">
        <v>6</v>
      </c>
      <c r="C5" s="6" t="s">
        <v>6</v>
      </c>
      <c r="D5">
        <v>3310108000</v>
      </c>
    </row>
    <row r="6" spans="1:4" x14ac:dyDescent="0.3">
      <c r="A6" s="6">
        <v>506</v>
      </c>
      <c r="B6" s="6" t="s">
        <v>7</v>
      </c>
      <c r="C6" s="6" t="s">
        <v>387</v>
      </c>
      <c r="D6">
        <v>3310111000</v>
      </c>
    </row>
    <row r="7" spans="1:4" x14ac:dyDescent="0.3">
      <c r="A7" s="6">
        <v>507</v>
      </c>
      <c r="B7" s="6" t="s">
        <v>8</v>
      </c>
      <c r="C7" s="6" t="s">
        <v>388</v>
      </c>
      <c r="D7">
        <v>3310101001</v>
      </c>
    </row>
    <row r="8" spans="1:4" x14ac:dyDescent="0.3">
      <c r="A8" s="6">
        <v>508</v>
      </c>
      <c r="B8" s="6" t="s">
        <v>9</v>
      </c>
      <c r="C8" s="6" t="s">
        <v>389</v>
      </c>
      <c r="D8">
        <v>3310106000</v>
      </c>
    </row>
    <row r="9" spans="1:4" x14ac:dyDescent="0.3">
      <c r="A9" s="6">
        <v>509</v>
      </c>
      <c r="B9" s="6" t="s">
        <v>152</v>
      </c>
      <c r="C9" s="6" t="s">
        <v>153</v>
      </c>
      <c r="D9">
        <v>3310107000</v>
      </c>
    </row>
    <row r="10" spans="1:4" x14ac:dyDescent="0.3">
      <c r="A10" s="6">
        <v>510</v>
      </c>
      <c r="B10" s="6" t="s">
        <v>195</v>
      </c>
      <c r="C10" s="6" t="s">
        <v>196</v>
      </c>
      <c r="D10">
        <v>3310102000</v>
      </c>
    </row>
    <row r="11" spans="1:4" x14ac:dyDescent="0.3">
      <c r="A11" s="6">
        <v>511</v>
      </c>
      <c r="B11" s="6" t="s">
        <v>10</v>
      </c>
      <c r="C11" s="6" t="s">
        <v>10</v>
      </c>
      <c r="D11">
        <v>3310112000</v>
      </c>
    </row>
    <row r="12" spans="1:4" x14ac:dyDescent="0.3">
      <c r="A12" s="6">
        <v>511</v>
      </c>
      <c r="B12" s="6" t="s">
        <v>10</v>
      </c>
      <c r="C12" s="6" t="s">
        <v>10</v>
      </c>
      <c r="D12">
        <v>3310113000</v>
      </c>
    </row>
    <row r="13" spans="1:4" x14ac:dyDescent="0.3">
      <c r="A13" s="6">
        <v>512</v>
      </c>
      <c r="B13" s="6" t="s">
        <v>11</v>
      </c>
      <c r="C13" s="6" t="s">
        <v>390</v>
      </c>
      <c r="D13">
        <v>3310101002</v>
      </c>
    </row>
    <row r="14" spans="1:4" x14ac:dyDescent="0.3">
      <c r="A14" s="6">
        <v>513</v>
      </c>
      <c r="B14" s="6" t="s">
        <v>12</v>
      </c>
      <c r="C14" s="6" t="s">
        <v>391</v>
      </c>
      <c r="D14">
        <v>3310101001</v>
      </c>
    </row>
    <row r="15" spans="1:4" x14ac:dyDescent="0.3">
      <c r="A15" s="6">
        <v>514</v>
      </c>
      <c r="B15" s="6" t="s">
        <v>13</v>
      </c>
      <c r="C15" s="6" t="s">
        <v>14</v>
      </c>
      <c r="D15">
        <v>3310103000</v>
      </c>
    </row>
    <row r="16" spans="1:4" x14ac:dyDescent="0.3">
      <c r="A16" s="6">
        <v>515</v>
      </c>
      <c r="B16" s="6" t="s">
        <v>15</v>
      </c>
      <c r="C16" s="6" t="s">
        <v>392</v>
      </c>
      <c r="D16">
        <v>3310111000</v>
      </c>
    </row>
    <row r="17" spans="1:4" x14ac:dyDescent="0.3">
      <c r="A17" s="6">
        <v>516</v>
      </c>
      <c r="B17" s="6" t="s">
        <v>16</v>
      </c>
      <c r="C17" s="6" t="s">
        <v>17</v>
      </c>
      <c r="D17">
        <v>3310110000</v>
      </c>
    </row>
    <row r="18" spans="1:4" x14ac:dyDescent="0.3">
      <c r="A18" s="6">
        <v>519</v>
      </c>
      <c r="B18" s="6" t="s">
        <v>18</v>
      </c>
      <c r="C18" s="6" t="s">
        <v>393</v>
      </c>
      <c r="D18">
        <v>3310106000</v>
      </c>
    </row>
    <row r="19" spans="1:4" x14ac:dyDescent="0.3">
      <c r="A19" s="6">
        <v>520</v>
      </c>
      <c r="B19" s="6" t="s">
        <v>197</v>
      </c>
      <c r="C19" s="6" t="s">
        <v>394</v>
      </c>
      <c r="D19">
        <v>3310107000</v>
      </c>
    </row>
    <row r="20" spans="1:4" x14ac:dyDescent="0.3">
      <c r="A20" s="6">
        <v>521</v>
      </c>
      <c r="B20" s="6" t="s">
        <v>19</v>
      </c>
      <c r="C20" s="6" t="s">
        <v>395</v>
      </c>
      <c r="D20">
        <v>3310106000</v>
      </c>
    </row>
    <row r="21" spans="1:4" x14ac:dyDescent="0.3">
      <c r="A21" s="6">
        <v>522</v>
      </c>
      <c r="B21" s="6" t="s">
        <v>20</v>
      </c>
      <c r="C21" s="6" t="s">
        <v>21</v>
      </c>
      <c r="D21">
        <v>3310719010</v>
      </c>
    </row>
    <row r="22" spans="1:4" x14ac:dyDescent="0.3">
      <c r="A22" s="6">
        <v>523</v>
      </c>
      <c r="B22" s="6" t="s">
        <v>22</v>
      </c>
      <c r="C22" s="6" t="s">
        <v>396</v>
      </c>
      <c r="D22">
        <v>3310719020</v>
      </c>
    </row>
    <row r="23" spans="1:4" x14ac:dyDescent="0.3">
      <c r="A23" s="6">
        <v>524</v>
      </c>
      <c r="B23" s="6" t="s">
        <v>24</v>
      </c>
      <c r="C23" s="6" t="s">
        <v>25</v>
      </c>
      <c r="D23">
        <v>3310300000</v>
      </c>
    </row>
    <row r="24" spans="1:4" x14ac:dyDescent="0.3">
      <c r="A24" s="6">
        <v>525</v>
      </c>
      <c r="B24" s="6" t="s">
        <v>26</v>
      </c>
      <c r="C24" s="6" t="s">
        <v>397</v>
      </c>
      <c r="D24">
        <v>3310300000</v>
      </c>
    </row>
    <row r="25" spans="1:4" x14ac:dyDescent="0.3">
      <c r="A25" s="6">
        <v>526</v>
      </c>
      <c r="B25" s="6" t="s">
        <v>27</v>
      </c>
      <c r="C25" s="6" t="s">
        <v>398</v>
      </c>
      <c r="D25">
        <v>3310604012</v>
      </c>
    </row>
    <row r="26" spans="1:4" x14ac:dyDescent="0.3">
      <c r="A26" s="6">
        <v>527</v>
      </c>
      <c r="B26" s="6" t="s">
        <v>28</v>
      </c>
      <c r="C26" s="6" t="s">
        <v>399</v>
      </c>
      <c r="D26">
        <v>3310604011</v>
      </c>
    </row>
    <row r="27" spans="1:4" x14ac:dyDescent="0.3">
      <c r="A27" s="6">
        <v>528</v>
      </c>
      <c r="B27" s="6" t="s">
        <v>29</v>
      </c>
      <c r="C27" s="6" t="s">
        <v>400</v>
      </c>
      <c r="D27">
        <v>3310201030</v>
      </c>
    </row>
    <row r="28" spans="1:4" x14ac:dyDescent="0.3">
      <c r="A28" s="6">
        <v>529</v>
      </c>
      <c r="B28" s="6" t="s">
        <v>198</v>
      </c>
      <c r="C28" s="6" t="s">
        <v>401</v>
      </c>
      <c r="D28">
        <v>3310107000</v>
      </c>
    </row>
    <row r="29" spans="1:4" x14ac:dyDescent="0.3">
      <c r="A29" s="6">
        <v>531</v>
      </c>
      <c r="B29" s="6" t="s">
        <v>30</v>
      </c>
      <c r="C29" s="6" t="s">
        <v>402</v>
      </c>
      <c r="D29">
        <v>3310604020</v>
      </c>
    </row>
    <row r="30" spans="1:4" x14ac:dyDescent="0.3">
      <c r="A30" s="6">
        <v>534</v>
      </c>
      <c r="B30" s="6" t="s">
        <v>31</v>
      </c>
      <c r="C30" s="6" t="s">
        <v>403</v>
      </c>
      <c r="D30">
        <v>3310607000</v>
      </c>
    </row>
    <row r="31" spans="1:4" x14ac:dyDescent="0.3">
      <c r="A31" s="6">
        <v>535</v>
      </c>
      <c r="B31" s="6" t="s">
        <v>32</v>
      </c>
      <c r="C31" s="6" t="s">
        <v>33</v>
      </c>
      <c r="D31">
        <v>3310610000</v>
      </c>
    </row>
    <row r="32" spans="1:4" x14ac:dyDescent="0.3">
      <c r="A32" s="6">
        <v>536</v>
      </c>
      <c r="B32" s="6" t="s">
        <v>306</v>
      </c>
      <c r="C32" s="6" t="s">
        <v>404</v>
      </c>
      <c r="D32">
        <v>3301020100</v>
      </c>
    </row>
    <row r="33" spans="1:4" x14ac:dyDescent="0.3">
      <c r="A33" s="6">
        <v>537</v>
      </c>
      <c r="B33" s="6" t="s">
        <v>307</v>
      </c>
      <c r="C33" s="6" t="s">
        <v>405</v>
      </c>
      <c r="D33">
        <v>3301020600</v>
      </c>
    </row>
    <row r="34" spans="1:4" x14ac:dyDescent="0.3">
      <c r="A34" s="6">
        <v>538</v>
      </c>
      <c r="B34" s="6" t="s">
        <v>308</v>
      </c>
      <c r="C34" s="6" t="s">
        <v>304</v>
      </c>
      <c r="D34">
        <v>3301020700</v>
      </c>
    </row>
    <row r="35" spans="1:4" x14ac:dyDescent="0.3">
      <c r="A35" s="6">
        <v>539</v>
      </c>
      <c r="B35" s="6" t="s">
        <v>36</v>
      </c>
      <c r="C35" s="6" t="s">
        <v>406</v>
      </c>
      <c r="D35">
        <v>3310702040</v>
      </c>
    </row>
    <row r="36" spans="1:4" x14ac:dyDescent="0.3">
      <c r="A36" s="6">
        <v>540</v>
      </c>
      <c r="B36" s="6" t="s">
        <v>199</v>
      </c>
      <c r="C36" s="6" t="s">
        <v>200</v>
      </c>
      <c r="D36">
        <v>3310201040</v>
      </c>
    </row>
    <row r="37" spans="1:4" x14ac:dyDescent="0.3">
      <c r="A37" s="6">
        <v>541</v>
      </c>
      <c r="B37" s="6" t="s">
        <v>37</v>
      </c>
      <c r="C37" s="6" t="s">
        <v>38</v>
      </c>
      <c r="D37">
        <v>3310601000</v>
      </c>
    </row>
    <row r="38" spans="1:4" x14ac:dyDescent="0.3">
      <c r="A38" s="6">
        <v>542</v>
      </c>
      <c r="B38" s="6" t="s">
        <v>39</v>
      </c>
      <c r="C38" s="6" t="s">
        <v>216</v>
      </c>
      <c r="D38">
        <v>3310109000</v>
      </c>
    </row>
    <row r="39" spans="1:4" x14ac:dyDescent="0.3">
      <c r="A39" s="6">
        <v>543</v>
      </c>
      <c r="B39" s="6" t="s">
        <v>41</v>
      </c>
      <c r="C39" s="6" t="s">
        <v>407</v>
      </c>
      <c r="D39">
        <v>3310198000</v>
      </c>
    </row>
    <row r="40" spans="1:4" x14ac:dyDescent="0.3">
      <c r="A40" s="6">
        <v>544</v>
      </c>
      <c r="B40" s="6" t="s">
        <v>42</v>
      </c>
      <c r="C40" s="6" t="s">
        <v>408</v>
      </c>
      <c r="D40">
        <v>3310615000</v>
      </c>
    </row>
    <row r="41" spans="1:4" x14ac:dyDescent="0.3">
      <c r="A41" s="6">
        <v>545</v>
      </c>
      <c r="B41" s="6" t="s">
        <v>43</v>
      </c>
      <c r="C41" s="6" t="s">
        <v>409</v>
      </c>
      <c r="D41">
        <v>3310700000</v>
      </c>
    </row>
    <row r="42" spans="1:4" x14ac:dyDescent="0.3">
      <c r="A42" s="6">
        <v>546</v>
      </c>
      <c r="B42" s="6" t="s">
        <v>45</v>
      </c>
      <c r="C42" s="6" t="s">
        <v>410</v>
      </c>
      <c r="D42">
        <v>3310700000</v>
      </c>
    </row>
    <row r="43" spans="1:4" x14ac:dyDescent="0.3">
      <c r="A43" s="6">
        <v>547</v>
      </c>
      <c r="B43" s="6" t="s">
        <v>46</v>
      </c>
      <c r="C43" s="6" t="s">
        <v>411</v>
      </c>
      <c r="D43">
        <v>3310717010</v>
      </c>
    </row>
    <row r="44" spans="1:4" x14ac:dyDescent="0.3">
      <c r="A44" s="6">
        <v>548</v>
      </c>
      <c r="B44" s="6" t="s">
        <v>47</v>
      </c>
      <c r="C44" s="6" t="s">
        <v>48</v>
      </c>
      <c r="D44">
        <v>3310703020</v>
      </c>
    </row>
    <row r="45" spans="1:4" x14ac:dyDescent="0.3">
      <c r="A45" s="6">
        <v>549</v>
      </c>
      <c r="B45" s="6" t="s">
        <v>40</v>
      </c>
      <c r="C45" s="6" t="s">
        <v>40</v>
      </c>
      <c r="D45">
        <v>3310116000</v>
      </c>
    </row>
    <row r="46" spans="1:4" x14ac:dyDescent="0.3">
      <c r="A46" s="6">
        <v>551</v>
      </c>
      <c r="B46" s="6" t="s">
        <v>49</v>
      </c>
      <c r="C46" s="6" t="s">
        <v>50</v>
      </c>
      <c r="D46">
        <v>3310701000</v>
      </c>
    </row>
    <row r="47" spans="1:4" x14ac:dyDescent="0.3">
      <c r="A47" s="6">
        <v>552</v>
      </c>
      <c r="B47" s="6" t="s">
        <v>51</v>
      </c>
      <c r="C47" s="6" t="s">
        <v>413</v>
      </c>
      <c r="D47">
        <v>3310611000</v>
      </c>
    </row>
    <row r="48" spans="1:4" x14ac:dyDescent="0.3">
      <c r="A48" s="6">
        <v>553</v>
      </c>
      <c r="B48" s="6" t="s">
        <v>52</v>
      </c>
      <c r="C48" s="6" t="s">
        <v>53</v>
      </c>
      <c r="D48">
        <v>3310612000</v>
      </c>
    </row>
    <row r="49" spans="1:4" x14ac:dyDescent="0.3">
      <c r="A49" s="6">
        <v>554</v>
      </c>
      <c r="B49" s="6" t="s">
        <v>54</v>
      </c>
      <c r="C49" s="6" t="s">
        <v>414</v>
      </c>
      <c r="D49">
        <v>3310800000</v>
      </c>
    </row>
    <row r="50" spans="1:4" x14ac:dyDescent="0.3">
      <c r="A50" s="6">
        <v>555</v>
      </c>
      <c r="B50" s="6" t="s">
        <v>55</v>
      </c>
      <c r="C50" s="6" t="s">
        <v>866</v>
      </c>
      <c r="D50">
        <v>3311100000</v>
      </c>
    </row>
    <row r="51" spans="1:4" x14ac:dyDescent="0.3">
      <c r="A51" s="6">
        <v>556</v>
      </c>
      <c r="B51" s="6" t="s">
        <v>57</v>
      </c>
      <c r="C51" s="6" t="s">
        <v>415</v>
      </c>
      <c r="D51">
        <v>3311100000</v>
      </c>
    </row>
    <row r="52" spans="1:4" x14ac:dyDescent="0.3">
      <c r="A52" s="6">
        <v>557</v>
      </c>
      <c r="B52" s="6" t="s">
        <v>59</v>
      </c>
      <c r="C52" s="6" t="s">
        <v>416</v>
      </c>
      <c r="D52">
        <v>3311100000</v>
      </c>
    </row>
    <row r="53" spans="1:4" x14ac:dyDescent="0.3">
      <c r="A53" s="6">
        <v>559</v>
      </c>
      <c r="B53" s="6" t="s">
        <v>60</v>
      </c>
      <c r="C53" s="6" t="s">
        <v>868</v>
      </c>
      <c r="D53">
        <v>3311100000</v>
      </c>
    </row>
    <row r="54" spans="1:4" x14ac:dyDescent="0.3">
      <c r="A54" s="6">
        <v>566</v>
      </c>
      <c r="B54" s="6" t="s">
        <v>62</v>
      </c>
      <c r="C54" s="6" t="s">
        <v>63</v>
      </c>
      <c r="D54">
        <v>3310606000</v>
      </c>
    </row>
    <row r="55" spans="1:4" x14ac:dyDescent="0.3">
      <c r="A55" s="6">
        <v>567</v>
      </c>
      <c r="B55" s="6" t="s">
        <v>64</v>
      </c>
      <c r="C55" s="6" t="s">
        <v>417</v>
      </c>
      <c r="D55">
        <v>3310839000</v>
      </c>
    </row>
    <row r="56" spans="1:4" x14ac:dyDescent="0.3">
      <c r="A56" s="6">
        <v>568</v>
      </c>
      <c r="B56" s="6" t="s">
        <v>65</v>
      </c>
      <c r="C56" s="6" t="s">
        <v>148</v>
      </c>
      <c r="D56">
        <v>3310201070</v>
      </c>
    </row>
    <row r="57" spans="1:4" x14ac:dyDescent="0.3">
      <c r="A57" s="6">
        <v>569</v>
      </c>
      <c r="B57" s="6" t="s">
        <v>309</v>
      </c>
      <c r="C57" s="6" t="s">
        <v>418</v>
      </c>
      <c r="D57">
        <v>3310201990</v>
      </c>
    </row>
    <row r="58" spans="1:4" x14ac:dyDescent="0.3">
      <c r="A58" s="6">
        <v>570</v>
      </c>
      <c r="B58" s="6" t="s">
        <v>310</v>
      </c>
      <c r="C58" s="6" t="s">
        <v>419</v>
      </c>
      <c r="D58">
        <v>3310201070</v>
      </c>
    </row>
    <row r="59" spans="1:4" x14ac:dyDescent="0.3">
      <c r="A59" s="6">
        <v>572</v>
      </c>
      <c r="B59" s="6" t="s">
        <v>311</v>
      </c>
      <c r="C59" s="6" t="s">
        <v>867</v>
      </c>
      <c r="D59">
        <v>3311100000</v>
      </c>
    </row>
    <row r="60" spans="1:4" x14ac:dyDescent="0.3">
      <c r="A60" s="6">
        <v>573</v>
      </c>
      <c r="B60" s="6" t="s">
        <v>66</v>
      </c>
      <c r="C60" s="6" t="s">
        <v>67</v>
      </c>
      <c r="D60">
        <v>3310707010</v>
      </c>
    </row>
    <row r="61" spans="1:4" x14ac:dyDescent="0.3">
      <c r="A61" s="6">
        <v>574</v>
      </c>
      <c r="B61" s="6" t="s">
        <v>154</v>
      </c>
      <c r="C61" s="6" t="s">
        <v>154</v>
      </c>
      <c r="D61">
        <v>3310703030</v>
      </c>
    </row>
    <row r="62" spans="1:4" x14ac:dyDescent="0.3">
      <c r="A62" s="6">
        <v>575</v>
      </c>
      <c r="B62" s="6" t="s">
        <v>155</v>
      </c>
      <c r="C62" s="6" t="s">
        <v>420</v>
      </c>
      <c r="D62">
        <v>3310610000</v>
      </c>
    </row>
    <row r="63" spans="1:4" x14ac:dyDescent="0.3">
      <c r="A63" s="6">
        <v>576</v>
      </c>
      <c r="B63" s="6" t="s">
        <v>156</v>
      </c>
      <c r="C63" s="6" t="s">
        <v>421</v>
      </c>
      <c r="D63">
        <v>3310610000</v>
      </c>
    </row>
    <row r="64" spans="1:4" x14ac:dyDescent="0.3">
      <c r="A64" s="6">
        <v>577</v>
      </c>
      <c r="B64" s="6" t="s">
        <v>157</v>
      </c>
      <c r="C64" s="6" t="s">
        <v>422</v>
      </c>
      <c r="D64">
        <v>3310610000</v>
      </c>
    </row>
    <row r="65" spans="1:4" x14ac:dyDescent="0.3">
      <c r="A65" s="6">
        <v>578</v>
      </c>
      <c r="B65" s="6" t="s">
        <v>201</v>
      </c>
      <c r="C65" s="6" t="s">
        <v>423</v>
      </c>
      <c r="D65">
        <v>3310109000</v>
      </c>
    </row>
    <row r="66" spans="1:4" x14ac:dyDescent="0.3">
      <c r="A66" s="6">
        <v>579</v>
      </c>
      <c r="B66" s="6" t="s">
        <v>202</v>
      </c>
      <c r="C66" s="6" t="s">
        <v>424</v>
      </c>
      <c r="D66">
        <v>3310109000</v>
      </c>
    </row>
    <row r="67" spans="1:4" x14ac:dyDescent="0.3">
      <c r="A67" s="6">
        <v>580</v>
      </c>
      <c r="B67" s="6" t="s">
        <v>203</v>
      </c>
      <c r="C67" s="6" t="s">
        <v>425</v>
      </c>
      <c r="D67">
        <v>3310116000</v>
      </c>
    </row>
    <row r="68" spans="1:4" x14ac:dyDescent="0.3">
      <c r="A68" s="6">
        <v>581</v>
      </c>
      <c r="B68" s="6" t="s">
        <v>204</v>
      </c>
      <c r="C68" s="6" t="s">
        <v>426</v>
      </c>
      <c r="D68">
        <v>3310116000</v>
      </c>
    </row>
    <row r="69" spans="1:4" x14ac:dyDescent="0.3">
      <c r="A69" s="10">
        <v>590</v>
      </c>
      <c r="B69" s="10" t="s">
        <v>213</v>
      </c>
      <c r="C69" s="10" t="s">
        <v>427</v>
      </c>
      <c r="D69">
        <v>3310604012</v>
      </c>
    </row>
    <row r="70" spans="1:4" x14ac:dyDescent="0.3">
      <c r="A70" s="6">
        <v>591</v>
      </c>
      <c r="B70" s="6" t="s">
        <v>68</v>
      </c>
      <c r="C70" s="6" t="s">
        <v>428</v>
      </c>
      <c r="D70">
        <v>3310604011</v>
      </c>
    </row>
    <row r="71" spans="1:4" x14ac:dyDescent="0.3">
      <c r="A71" s="6">
        <v>592</v>
      </c>
      <c r="B71" s="6" t="s">
        <v>69</v>
      </c>
      <c r="C71" s="6" t="s">
        <v>429</v>
      </c>
      <c r="D71">
        <v>3310604020</v>
      </c>
    </row>
    <row r="72" spans="1:4" x14ac:dyDescent="0.3">
      <c r="A72" s="6">
        <v>594</v>
      </c>
      <c r="B72" s="6" t="s">
        <v>70</v>
      </c>
      <c r="C72" s="6" t="s">
        <v>430</v>
      </c>
      <c r="D72">
        <v>3311100000</v>
      </c>
    </row>
    <row r="73" spans="1:4" x14ac:dyDescent="0.3">
      <c r="A73" s="9">
        <v>595</v>
      </c>
      <c r="B73" s="9" t="s">
        <v>158</v>
      </c>
      <c r="C73" s="9" t="s">
        <v>74</v>
      </c>
      <c r="D73">
        <v>3311100000</v>
      </c>
    </row>
    <row r="74" spans="1:4" x14ac:dyDescent="0.3">
      <c r="A74" s="6">
        <v>597</v>
      </c>
      <c r="B74" s="6" t="s">
        <v>71</v>
      </c>
      <c r="C74" s="6" t="s">
        <v>72</v>
      </c>
      <c r="D74">
        <v>3311100000</v>
      </c>
    </row>
    <row r="75" spans="1:4" x14ac:dyDescent="0.3">
      <c r="A75" s="6">
        <v>598</v>
      </c>
      <c r="B75" s="6" t="s">
        <v>73</v>
      </c>
      <c r="C75" s="6" t="s">
        <v>74</v>
      </c>
      <c r="D75">
        <v>3311100000</v>
      </c>
    </row>
    <row r="76" spans="1:4" x14ac:dyDescent="0.3">
      <c r="A76" s="6">
        <v>601</v>
      </c>
      <c r="B76" s="6" t="s">
        <v>75</v>
      </c>
      <c r="C76" s="6" t="s">
        <v>455</v>
      </c>
      <c r="D76">
        <v>3320200000</v>
      </c>
    </row>
    <row r="77" spans="1:4" x14ac:dyDescent="0.3">
      <c r="A77" s="6">
        <v>602</v>
      </c>
      <c r="B77" s="6" t="s">
        <v>76</v>
      </c>
      <c r="C77" s="6" t="s">
        <v>456</v>
      </c>
      <c r="D77">
        <v>3320200000</v>
      </c>
    </row>
    <row r="78" spans="1:4" x14ac:dyDescent="0.3">
      <c r="A78" s="6">
        <v>611</v>
      </c>
      <c r="B78" s="6" t="s">
        <v>77</v>
      </c>
      <c r="C78" s="6" t="s">
        <v>457</v>
      </c>
      <c r="D78">
        <v>3320100000</v>
      </c>
    </row>
    <row r="79" spans="1:4" x14ac:dyDescent="0.3">
      <c r="A79" s="6">
        <v>612</v>
      </c>
      <c r="B79" s="6" t="s">
        <v>78</v>
      </c>
      <c r="C79" s="6" t="s">
        <v>458</v>
      </c>
      <c r="D79">
        <v>3320100000</v>
      </c>
    </row>
    <row r="80" spans="1:4" x14ac:dyDescent="0.3">
      <c r="A80" s="6">
        <v>613</v>
      </c>
      <c r="B80" s="6" t="s">
        <v>79</v>
      </c>
      <c r="C80" s="6" t="s">
        <v>459</v>
      </c>
      <c r="D80">
        <v>3320100000</v>
      </c>
    </row>
    <row r="81" spans="1:4" x14ac:dyDescent="0.3">
      <c r="A81" s="6">
        <v>616</v>
      </c>
      <c r="B81" s="6" t="s">
        <v>80</v>
      </c>
      <c r="C81" s="6" t="s">
        <v>460</v>
      </c>
      <c r="D81">
        <v>3320100000</v>
      </c>
    </row>
    <row r="82" spans="1:4" x14ac:dyDescent="0.3">
      <c r="A82" s="6">
        <v>617</v>
      </c>
      <c r="B82" s="6" t="s">
        <v>82</v>
      </c>
      <c r="C82" s="6" t="s">
        <v>461</v>
      </c>
      <c r="D82">
        <v>3320100000</v>
      </c>
    </row>
    <row r="83" spans="1:4" x14ac:dyDescent="0.3">
      <c r="A83" s="6">
        <v>618</v>
      </c>
      <c r="B83" s="6" t="s">
        <v>83</v>
      </c>
      <c r="C83" s="6" t="s">
        <v>462</v>
      </c>
      <c r="D83">
        <v>3320100000</v>
      </c>
    </row>
    <row r="84" spans="1:4" x14ac:dyDescent="0.3">
      <c r="A84" s="6">
        <v>621</v>
      </c>
      <c r="B84" s="6" t="s">
        <v>84</v>
      </c>
      <c r="C84" s="6" t="s">
        <v>463</v>
      </c>
      <c r="D84">
        <v>3320100000</v>
      </c>
    </row>
    <row r="85" spans="1:4" x14ac:dyDescent="0.3">
      <c r="A85" s="6">
        <v>622</v>
      </c>
      <c r="B85" s="6" t="s">
        <v>85</v>
      </c>
      <c r="C85" s="6" t="s">
        <v>464</v>
      </c>
      <c r="D85">
        <v>3320100000</v>
      </c>
    </row>
    <row r="86" spans="1:4" x14ac:dyDescent="0.3">
      <c r="A86" s="6">
        <v>623</v>
      </c>
      <c r="B86" s="9" t="s">
        <v>159</v>
      </c>
      <c r="C86" s="9" t="s">
        <v>465</v>
      </c>
      <c r="D86">
        <v>3320100000</v>
      </c>
    </row>
    <row r="87" spans="1:4" x14ac:dyDescent="0.3">
      <c r="A87" s="6">
        <v>625</v>
      </c>
      <c r="B87" s="6" t="s">
        <v>83</v>
      </c>
      <c r="C87" s="6" t="s">
        <v>462</v>
      </c>
      <c r="D87">
        <v>3320100000</v>
      </c>
    </row>
    <row r="88" spans="1:4" x14ac:dyDescent="0.3">
      <c r="A88" s="6">
        <v>631</v>
      </c>
      <c r="B88" s="6" t="s">
        <v>86</v>
      </c>
      <c r="C88" s="6" t="s">
        <v>466</v>
      </c>
      <c r="D88">
        <v>3310202990</v>
      </c>
    </row>
    <row r="89" spans="1:4" x14ac:dyDescent="0.3">
      <c r="A89" s="6">
        <v>632</v>
      </c>
      <c r="B89" s="6" t="s">
        <v>87</v>
      </c>
      <c r="C89" s="6" t="s">
        <v>467</v>
      </c>
      <c r="D89">
        <v>3320201000</v>
      </c>
    </row>
    <row r="90" spans="1:4" x14ac:dyDescent="0.3">
      <c r="A90" s="6">
        <v>634</v>
      </c>
      <c r="B90" s="6" t="s">
        <v>88</v>
      </c>
      <c r="C90" s="6" t="s">
        <v>468</v>
      </c>
      <c r="D90">
        <v>3320100000</v>
      </c>
    </row>
    <row r="91" spans="1:4" x14ac:dyDescent="0.3">
      <c r="A91" s="6">
        <v>635</v>
      </c>
      <c r="B91" s="6" t="s">
        <v>434</v>
      </c>
      <c r="C91" s="6" t="s">
        <v>469</v>
      </c>
      <c r="D91">
        <v>3320100000</v>
      </c>
    </row>
    <row r="92" spans="1:4" x14ac:dyDescent="0.3">
      <c r="A92" s="6">
        <v>660</v>
      </c>
      <c r="B92" s="9" t="s">
        <v>160</v>
      </c>
      <c r="C92" s="9" t="s">
        <v>471</v>
      </c>
      <c r="D92">
        <v>3320100000</v>
      </c>
    </row>
    <row r="93" spans="1:4" x14ac:dyDescent="0.3">
      <c r="A93" s="6">
        <v>693</v>
      </c>
      <c r="B93" s="9" t="s">
        <v>161</v>
      </c>
      <c r="C93" s="9" t="s">
        <v>472</v>
      </c>
      <c r="D93">
        <v>3320100000</v>
      </c>
    </row>
    <row r="94" spans="1:4" x14ac:dyDescent="0.3">
      <c r="A94" s="6">
        <v>694</v>
      </c>
      <c r="B94" s="9" t="s">
        <v>162</v>
      </c>
      <c r="C94" s="9" t="s">
        <v>473</v>
      </c>
      <c r="D94">
        <v>3320100000</v>
      </c>
    </row>
    <row r="95" spans="1:4" x14ac:dyDescent="0.3">
      <c r="A95" s="6">
        <v>697</v>
      </c>
      <c r="B95" s="6" t="s">
        <v>89</v>
      </c>
      <c r="C95" s="6" t="s">
        <v>474</v>
      </c>
      <c r="D95">
        <v>3320100000</v>
      </c>
    </row>
    <row r="96" spans="1:4" x14ac:dyDescent="0.3">
      <c r="A96" s="6">
        <v>698</v>
      </c>
      <c r="B96" s="6" t="s">
        <v>90</v>
      </c>
      <c r="C96" s="6" t="s">
        <v>475</v>
      </c>
      <c r="D96">
        <v>3320100000</v>
      </c>
    </row>
    <row r="97" spans="1:4" x14ac:dyDescent="0.3">
      <c r="A97" s="6">
        <v>701</v>
      </c>
      <c r="B97" s="6" t="s">
        <v>91</v>
      </c>
      <c r="C97" s="6" t="s">
        <v>540</v>
      </c>
      <c r="D97">
        <v>3330600000</v>
      </c>
    </row>
    <row r="98" spans="1:4" x14ac:dyDescent="0.3">
      <c r="A98" s="6">
        <v>702</v>
      </c>
      <c r="B98" s="6" t="s">
        <v>93</v>
      </c>
      <c r="C98" s="6" t="s">
        <v>541</v>
      </c>
      <c r="D98">
        <v>3330102000</v>
      </c>
    </row>
    <row r="99" spans="1:4" x14ac:dyDescent="0.3">
      <c r="A99" s="6">
        <v>703</v>
      </c>
      <c r="B99" s="6" t="s">
        <v>95</v>
      </c>
      <c r="C99" s="6" t="s">
        <v>542</v>
      </c>
      <c r="D99">
        <v>3330112000</v>
      </c>
    </row>
    <row r="100" spans="1:4" x14ac:dyDescent="0.3">
      <c r="A100" s="6">
        <v>704</v>
      </c>
      <c r="B100" s="6" t="s">
        <v>97</v>
      </c>
      <c r="C100" s="6" t="s">
        <v>543</v>
      </c>
      <c r="D100">
        <v>3330100000</v>
      </c>
    </row>
    <row r="101" spans="1:4" x14ac:dyDescent="0.3">
      <c r="A101" s="6">
        <v>705</v>
      </c>
      <c r="B101" s="6" t="s">
        <v>98</v>
      </c>
      <c r="C101" s="6" t="s">
        <v>99</v>
      </c>
      <c r="D101">
        <v>3330200000</v>
      </c>
    </row>
    <row r="102" spans="1:4" x14ac:dyDescent="0.3">
      <c r="A102" s="6">
        <v>706</v>
      </c>
      <c r="B102" s="6" t="s">
        <v>100</v>
      </c>
      <c r="C102" s="6" t="s">
        <v>101</v>
      </c>
      <c r="D102">
        <v>3310612000</v>
      </c>
    </row>
    <row r="103" spans="1:4" x14ac:dyDescent="0.3">
      <c r="A103" s="6">
        <v>707</v>
      </c>
      <c r="B103" s="6" t="s">
        <v>102</v>
      </c>
      <c r="C103" s="6" t="s">
        <v>544</v>
      </c>
      <c r="D103">
        <v>3310800000</v>
      </c>
    </row>
    <row r="104" spans="1:4" x14ac:dyDescent="0.3">
      <c r="A104" s="6">
        <v>708</v>
      </c>
      <c r="B104" s="6" t="s">
        <v>103</v>
      </c>
      <c r="C104" s="6" t="s">
        <v>104</v>
      </c>
      <c r="D104">
        <v>3310602000</v>
      </c>
    </row>
    <row r="105" spans="1:4" x14ac:dyDescent="0.3">
      <c r="A105" s="6">
        <v>709</v>
      </c>
      <c r="B105" s="6" t="s">
        <v>105</v>
      </c>
      <c r="C105" s="6" t="s">
        <v>545</v>
      </c>
      <c r="D105">
        <v>3310709000</v>
      </c>
    </row>
    <row r="106" spans="1:4" x14ac:dyDescent="0.3">
      <c r="A106" s="6">
        <v>710</v>
      </c>
      <c r="B106" s="6" t="s">
        <v>106</v>
      </c>
      <c r="C106" s="6" t="s">
        <v>151</v>
      </c>
      <c r="D106">
        <v>3310706000</v>
      </c>
    </row>
    <row r="107" spans="1:4" x14ac:dyDescent="0.3">
      <c r="A107" s="9">
        <v>711</v>
      </c>
      <c r="B107" s="9" t="s">
        <v>163</v>
      </c>
      <c r="C107" s="9" t="s">
        <v>546</v>
      </c>
      <c r="D107" s="37">
        <v>3340300000</v>
      </c>
    </row>
    <row r="108" spans="1:4" x14ac:dyDescent="0.3">
      <c r="A108" s="6">
        <v>712</v>
      </c>
      <c r="B108" s="6" t="s">
        <v>107</v>
      </c>
      <c r="C108" s="6" t="s">
        <v>108</v>
      </c>
      <c r="D108">
        <v>3369900000</v>
      </c>
    </row>
    <row r="109" spans="1:4" x14ac:dyDescent="0.3">
      <c r="A109" s="6">
        <v>713</v>
      </c>
      <c r="B109" s="6" t="s">
        <v>109</v>
      </c>
      <c r="C109" s="6" t="s">
        <v>547</v>
      </c>
      <c r="D109">
        <v>3330700000</v>
      </c>
    </row>
    <row r="110" spans="1:4" x14ac:dyDescent="0.3">
      <c r="A110" s="6">
        <v>714</v>
      </c>
      <c r="B110" s="6" t="s">
        <v>110</v>
      </c>
      <c r="C110" s="6" t="s">
        <v>548</v>
      </c>
      <c r="D110">
        <v>3330700000</v>
      </c>
    </row>
    <row r="111" spans="1:4" x14ac:dyDescent="0.3">
      <c r="A111" s="6">
        <v>715</v>
      </c>
      <c r="B111" s="6" t="s">
        <v>111</v>
      </c>
      <c r="C111" s="6" t="s">
        <v>549</v>
      </c>
      <c r="D111">
        <v>3330700000</v>
      </c>
    </row>
    <row r="112" spans="1:4" x14ac:dyDescent="0.3">
      <c r="A112" s="6">
        <v>717</v>
      </c>
      <c r="B112" s="6" t="s">
        <v>112</v>
      </c>
      <c r="C112" s="6" t="s">
        <v>550</v>
      </c>
      <c r="D112">
        <v>3330600000</v>
      </c>
    </row>
    <row r="113" spans="1:4" x14ac:dyDescent="0.3">
      <c r="A113" s="6">
        <v>718</v>
      </c>
      <c r="B113" s="6" t="s">
        <v>113</v>
      </c>
      <c r="C113" s="6" t="s">
        <v>551</v>
      </c>
      <c r="D113" s="35">
        <v>3340200000</v>
      </c>
    </row>
    <row r="114" spans="1:4" x14ac:dyDescent="0.3">
      <c r="A114" s="6">
        <v>719</v>
      </c>
      <c r="B114" s="6" t="s">
        <v>114</v>
      </c>
      <c r="C114" s="6" t="s">
        <v>552</v>
      </c>
      <c r="D114" s="35">
        <v>3369900000</v>
      </c>
    </row>
    <row r="115" spans="1:4" x14ac:dyDescent="0.3">
      <c r="A115" s="6">
        <v>720</v>
      </c>
      <c r="B115" s="6" t="s">
        <v>476</v>
      </c>
      <c r="C115" s="6" t="s">
        <v>553</v>
      </c>
      <c r="D115">
        <v>3330305000</v>
      </c>
    </row>
    <row r="116" spans="1:4" x14ac:dyDescent="0.3">
      <c r="A116" s="6">
        <v>721</v>
      </c>
      <c r="B116" s="6" t="s">
        <v>115</v>
      </c>
      <c r="C116" s="6" t="s">
        <v>554</v>
      </c>
      <c r="D116">
        <v>3310800000</v>
      </c>
    </row>
    <row r="117" spans="1:4" x14ac:dyDescent="0.3">
      <c r="A117" s="6">
        <v>722</v>
      </c>
      <c r="B117" s="6" t="s">
        <v>116</v>
      </c>
      <c r="C117" s="6" t="s">
        <v>555</v>
      </c>
      <c r="D117">
        <v>3330700000</v>
      </c>
    </row>
    <row r="118" spans="1:4" x14ac:dyDescent="0.3">
      <c r="A118" s="6">
        <v>723</v>
      </c>
      <c r="B118" s="6" t="s">
        <v>477</v>
      </c>
      <c r="C118" s="6" t="s">
        <v>556</v>
      </c>
      <c r="D118">
        <v>3330700000</v>
      </c>
    </row>
    <row r="119" spans="1:4" x14ac:dyDescent="0.3">
      <c r="A119" s="6">
        <v>724</v>
      </c>
      <c r="B119" s="6" t="s">
        <v>205</v>
      </c>
      <c r="C119" s="6" t="s">
        <v>557</v>
      </c>
      <c r="D119">
        <v>3330700000</v>
      </c>
    </row>
    <row r="120" spans="1:4" x14ac:dyDescent="0.3">
      <c r="A120" s="6">
        <v>725</v>
      </c>
      <c r="B120" s="9" t="s">
        <v>164</v>
      </c>
      <c r="C120" s="9" t="s">
        <v>166</v>
      </c>
      <c r="D120" s="37">
        <v>3390000000</v>
      </c>
    </row>
    <row r="121" spans="1:4" x14ac:dyDescent="0.3">
      <c r="A121" s="6">
        <v>730</v>
      </c>
      <c r="B121" s="9" t="s">
        <v>165</v>
      </c>
      <c r="C121" s="9" t="s">
        <v>558</v>
      </c>
      <c r="D121">
        <v>3330100000</v>
      </c>
    </row>
    <row r="122" spans="1:4" x14ac:dyDescent="0.3">
      <c r="A122" s="6">
        <v>731</v>
      </c>
      <c r="B122" s="6" t="s">
        <v>117</v>
      </c>
      <c r="C122" s="6" t="s">
        <v>559</v>
      </c>
      <c r="D122">
        <v>3330100000</v>
      </c>
    </row>
    <row r="123" spans="1:4" x14ac:dyDescent="0.3">
      <c r="A123" s="6">
        <v>735</v>
      </c>
      <c r="B123" s="6" t="s">
        <v>118</v>
      </c>
      <c r="C123" s="6" t="s">
        <v>560</v>
      </c>
      <c r="D123">
        <v>3330600000</v>
      </c>
    </row>
    <row r="124" spans="1:4" x14ac:dyDescent="0.3">
      <c r="A124" s="9">
        <v>750</v>
      </c>
      <c r="B124" s="9" t="s">
        <v>167</v>
      </c>
      <c r="C124" s="9" t="s">
        <v>561</v>
      </c>
      <c r="D124" s="37">
        <v>3390000000</v>
      </c>
    </row>
    <row r="125" spans="1:4" x14ac:dyDescent="0.3">
      <c r="A125" s="10">
        <v>760</v>
      </c>
      <c r="B125" s="11" t="s">
        <v>478</v>
      </c>
      <c r="C125" s="11" t="s">
        <v>562</v>
      </c>
      <c r="D125" s="37">
        <v>3390000000</v>
      </c>
    </row>
    <row r="126" spans="1:4" x14ac:dyDescent="0.3">
      <c r="A126" s="6">
        <v>797</v>
      </c>
      <c r="B126" s="6" t="s">
        <v>119</v>
      </c>
      <c r="C126" s="6" t="s">
        <v>563</v>
      </c>
      <c r="D126" s="37">
        <v>3390000000</v>
      </c>
    </row>
    <row r="127" spans="1:4" x14ac:dyDescent="0.3">
      <c r="A127" s="6">
        <v>798</v>
      </c>
      <c r="B127" s="6" t="s">
        <v>120</v>
      </c>
      <c r="C127" s="6" t="s">
        <v>564</v>
      </c>
      <c r="D127" s="37">
        <v>3390000000</v>
      </c>
    </row>
    <row r="128" spans="1:4" x14ac:dyDescent="0.3">
      <c r="A128" s="6">
        <v>801</v>
      </c>
      <c r="B128" s="6" t="s">
        <v>121</v>
      </c>
      <c r="C128" s="6" t="s">
        <v>618</v>
      </c>
      <c r="D128">
        <v>3350000000</v>
      </c>
    </row>
    <row r="129" spans="1:4" x14ac:dyDescent="0.3">
      <c r="A129" s="6">
        <v>802</v>
      </c>
      <c r="B129" s="6" t="s">
        <v>122</v>
      </c>
      <c r="C129" s="6" t="s">
        <v>619</v>
      </c>
      <c r="D129">
        <v>3350000000</v>
      </c>
    </row>
    <row r="130" spans="1:4" x14ac:dyDescent="0.3">
      <c r="A130" s="6">
        <v>803</v>
      </c>
      <c r="B130" s="6" t="s">
        <v>207</v>
      </c>
      <c r="C130" s="6" t="s">
        <v>620</v>
      </c>
      <c r="D130">
        <v>3350000000</v>
      </c>
    </row>
    <row r="131" spans="1:4" x14ac:dyDescent="0.3">
      <c r="A131" s="6">
        <v>804</v>
      </c>
      <c r="B131" s="6" t="s">
        <v>206</v>
      </c>
      <c r="C131" s="6" t="s">
        <v>621</v>
      </c>
      <c r="D131">
        <v>3350000000</v>
      </c>
    </row>
    <row r="132" spans="1:4" x14ac:dyDescent="0.3">
      <c r="A132" s="6">
        <v>806</v>
      </c>
      <c r="B132" s="6" t="s">
        <v>123</v>
      </c>
      <c r="C132" s="6" t="s">
        <v>622</v>
      </c>
      <c r="D132">
        <v>3350000000</v>
      </c>
    </row>
    <row r="133" spans="1:4" x14ac:dyDescent="0.3">
      <c r="A133" s="6">
        <v>807</v>
      </c>
      <c r="B133" s="6" t="s">
        <v>124</v>
      </c>
      <c r="C133" s="6" t="s">
        <v>623</v>
      </c>
      <c r="D133">
        <v>3350000000</v>
      </c>
    </row>
    <row r="134" spans="1:4" x14ac:dyDescent="0.3">
      <c r="A134" s="6">
        <v>808</v>
      </c>
      <c r="B134" s="6" t="s">
        <v>125</v>
      </c>
      <c r="C134" s="6" t="s">
        <v>624</v>
      </c>
      <c r="D134">
        <v>3350000000</v>
      </c>
    </row>
    <row r="135" spans="1:4" x14ac:dyDescent="0.3">
      <c r="A135" s="6">
        <v>810</v>
      </c>
      <c r="B135" s="9" t="s">
        <v>168</v>
      </c>
      <c r="C135" s="9" t="s">
        <v>625</v>
      </c>
      <c r="D135">
        <v>3350000000</v>
      </c>
    </row>
    <row r="136" spans="1:4" x14ac:dyDescent="0.3">
      <c r="A136" s="6">
        <v>811</v>
      </c>
      <c r="B136" s="6" t="s">
        <v>565</v>
      </c>
      <c r="C136" s="6" t="s">
        <v>626</v>
      </c>
      <c r="D136">
        <v>3350000000</v>
      </c>
    </row>
    <row r="137" spans="1:4" x14ac:dyDescent="0.3">
      <c r="A137" s="6">
        <v>812</v>
      </c>
      <c r="B137" s="6" t="s">
        <v>566</v>
      </c>
      <c r="C137" s="6" t="s">
        <v>627</v>
      </c>
      <c r="D137">
        <v>3350000000</v>
      </c>
    </row>
    <row r="138" spans="1:4" x14ac:dyDescent="0.3">
      <c r="A138" s="6">
        <v>813</v>
      </c>
      <c r="B138" s="6" t="s">
        <v>567</v>
      </c>
      <c r="C138" s="6" t="s">
        <v>628</v>
      </c>
      <c r="D138">
        <v>3350000000</v>
      </c>
    </row>
    <row r="139" spans="1:4" x14ac:dyDescent="0.3">
      <c r="A139" s="6">
        <v>814</v>
      </c>
      <c r="B139" s="6" t="s">
        <v>568</v>
      </c>
      <c r="C139" s="6" t="s">
        <v>629</v>
      </c>
      <c r="D139">
        <v>3350000000</v>
      </c>
    </row>
    <row r="140" spans="1:4" x14ac:dyDescent="0.3">
      <c r="A140" s="6">
        <v>830</v>
      </c>
      <c r="B140" s="9" t="s">
        <v>169</v>
      </c>
      <c r="C140" s="9" t="s">
        <v>630</v>
      </c>
      <c r="D140">
        <v>3350000000</v>
      </c>
    </row>
    <row r="141" spans="1:4" x14ac:dyDescent="0.3">
      <c r="A141" s="10">
        <v>840</v>
      </c>
      <c r="B141" s="11" t="s">
        <v>569</v>
      </c>
      <c r="C141" s="11" t="s">
        <v>631</v>
      </c>
      <c r="D141">
        <v>3350000000</v>
      </c>
    </row>
    <row r="142" spans="1:4" x14ac:dyDescent="0.3">
      <c r="A142" s="6">
        <v>847</v>
      </c>
      <c r="B142" s="6" t="s">
        <v>126</v>
      </c>
      <c r="C142" s="6" t="s">
        <v>632</v>
      </c>
      <c r="D142">
        <v>3350000000</v>
      </c>
    </row>
    <row r="143" spans="1:4" x14ac:dyDescent="0.3">
      <c r="A143" s="6">
        <v>848</v>
      </c>
      <c r="B143" s="6" t="s">
        <v>127</v>
      </c>
      <c r="C143" s="6" t="s">
        <v>633</v>
      </c>
      <c r="D143">
        <v>3350000000</v>
      </c>
    </row>
    <row r="144" spans="1:4" x14ac:dyDescent="0.3">
      <c r="A144" s="6">
        <v>849</v>
      </c>
      <c r="B144" s="6" t="s">
        <v>128</v>
      </c>
      <c r="C144" s="6" t="s">
        <v>634</v>
      </c>
      <c r="D144">
        <v>3350000000</v>
      </c>
    </row>
    <row r="145" spans="1:4" x14ac:dyDescent="0.3">
      <c r="A145" s="6">
        <v>851</v>
      </c>
      <c r="B145" s="6" t="s">
        <v>570</v>
      </c>
      <c r="C145" s="6" t="s">
        <v>635</v>
      </c>
      <c r="D145">
        <v>3320100000</v>
      </c>
    </row>
    <row r="146" spans="1:4" x14ac:dyDescent="0.3">
      <c r="A146" s="6">
        <v>852</v>
      </c>
      <c r="B146" s="6" t="s">
        <v>129</v>
      </c>
      <c r="C146" s="6" t="s">
        <v>636</v>
      </c>
      <c r="D146">
        <v>3360000000</v>
      </c>
    </row>
    <row r="147" spans="1:4" x14ac:dyDescent="0.3">
      <c r="A147" s="6">
        <v>857</v>
      </c>
      <c r="B147" s="6" t="s">
        <v>130</v>
      </c>
      <c r="C147" s="6" t="s">
        <v>637</v>
      </c>
      <c r="D147">
        <v>3360000000</v>
      </c>
    </row>
    <row r="148" spans="1:4" x14ac:dyDescent="0.3">
      <c r="A148" s="6">
        <v>858</v>
      </c>
      <c r="B148" s="6" t="s">
        <v>131</v>
      </c>
      <c r="C148" s="6" t="s">
        <v>638</v>
      </c>
      <c r="D148">
        <v>3360000000</v>
      </c>
    </row>
    <row r="149" spans="1:4" x14ac:dyDescent="0.3">
      <c r="A149" s="6">
        <v>901</v>
      </c>
      <c r="B149" s="6" t="s">
        <v>132</v>
      </c>
      <c r="C149" s="6" t="s">
        <v>133</v>
      </c>
      <c r="D149">
        <v>3360000000</v>
      </c>
    </row>
    <row r="150" spans="1:4" x14ac:dyDescent="0.3">
      <c r="A150" s="6">
        <v>902</v>
      </c>
      <c r="B150" s="6" t="s">
        <v>134</v>
      </c>
      <c r="C150" s="6" t="s">
        <v>696</v>
      </c>
      <c r="D150">
        <v>3370000000</v>
      </c>
    </row>
    <row r="151" spans="1:4" x14ac:dyDescent="0.3">
      <c r="A151" s="6">
        <v>905</v>
      </c>
      <c r="B151" s="6" t="s">
        <v>137</v>
      </c>
      <c r="C151" s="6" t="s">
        <v>699</v>
      </c>
      <c r="D151">
        <v>3370000000</v>
      </c>
    </row>
    <row r="152" spans="1:4" x14ac:dyDescent="0.3">
      <c r="A152" s="6">
        <v>909</v>
      </c>
      <c r="B152" s="6" t="s">
        <v>142</v>
      </c>
      <c r="C152" s="6" t="s">
        <v>702</v>
      </c>
      <c r="D152">
        <v>3311200000</v>
      </c>
    </row>
    <row r="153" spans="1:4" x14ac:dyDescent="0.3">
      <c r="A153" s="6">
        <v>930</v>
      </c>
      <c r="B153" s="6" t="s">
        <v>144</v>
      </c>
      <c r="C153" s="6" t="s">
        <v>711</v>
      </c>
      <c r="D153">
        <v>3320100000</v>
      </c>
    </row>
    <row r="154" spans="1:4" x14ac:dyDescent="0.3">
      <c r="A154" s="9">
        <v>933</v>
      </c>
      <c r="B154" s="9" t="s">
        <v>172</v>
      </c>
      <c r="C154" s="9" t="s">
        <v>712</v>
      </c>
      <c r="D154">
        <v>3320100000</v>
      </c>
    </row>
    <row r="155" spans="1:4" x14ac:dyDescent="0.3">
      <c r="A155" s="9">
        <v>935</v>
      </c>
      <c r="B155" s="9" t="s">
        <v>170</v>
      </c>
      <c r="C155" s="9" t="s">
        <v>713</v>
      </c>
      <c r="D155">
        <v>3320100000</v>
      </c>
    </row>
    <row r="156" spans="1:4" x14ac:dyDescent="0.3">
      <c r="A156" s="9">
        <v>936</v>
      </c>
      <c r="B156" s="9" t="s">
        <v>171</v>
      </c>
      <c r="C156" s="9" t="s">
        <v>714</v>
      </c>
      <c r="D156">
        <v>3320100000</v>
      </c>
    </row>
    <row r="157" spans="1:4" x14ac:dyDescent="0.3">
      <c r="A157" s="10">
        <v>950</v>
      </c>
      <c r="B157" s="11" t="s">
        <v>55</v>
      </c>
      <c r="C157" s="11" t="s">
        <v>715</v>
      </c>
      <c r="D157">
        <v>3311100000</v>
      </c>
    </row>
    <row r="158" spans="1:4" x14ac:dyDescent="0.3">
      <c r="A158" s="10">
        <v>951</v>
      </c>
      <c r="B158" s="11" t="s">
        <v>648</v>
      </c>
      <c r="C158" s="11" t="s">
        <v>716</v>
      </c>
      <c r="D158" s="36">
        <v>3310100000</v>
      </c>
    </row>
    <row r="159" spans="1:4" x14ac:dyDescent="0.3">
      <c r="A159" s="12"/>
      <c r="B159" s="12"/>
      <c r="C159" s="12"/>
      <c r="D159" s="38"/>
    </row>
    <row r="160" spans="1:4" x14ac:dyDescent="0.3">
      <c r="A160" s="12"/>
      <c r="B160" s="12"/>
      <c r="C160" s="12"/>
      <c r="D160" s="38"/>
    </row>
    <row r="161" spans="1:4" x14ac:dyDescent="0.3">
      <c r="A161" s="12"/>
      <c r="B161" s="12"/>
      <c r="D161" s="38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D6A0-5DBF-4980-A530-27455A235352}">
  <dimension ref="A1:L84"/>
  <sheetViews>
    <sheetView zoomScale="70" zoomScaleNormal="70" workbookViewId="0">
      <selection activeCell="Q6" sqref="Q6"/>
    </sheetView>
  </sheetViews>
  <sheetFormatPr baseColWidth="10" defaultRowHeight="14" x14ac:dyDescent="0.3"/>
  <cols>
    <col min="1" max="1" width="21.83203125" bestFit="1" customWidth="1"/>
    <col min="2" max="2" width="23.08203125" bestFit="1" customWidth="1"/>
    <col min="3" max="3" width="7.83203125" bestFit="1" customWidth="1"/>
    <col min="4" max="4" width="21.83203125" bestFit="1" customWidth="1"/>
    <col min="5" max="5" width="23.08203125" bestFit="1" customWidth="1"/>
    <col min="6" max="6" width="6.83203125" bestFit="1" customWidth="1"/>
    <col min="7" max="7" width="21.83203125" bestFit="1" customWidth="1"/>
    <col min="8" max="8" width="23.08203125" bestFit="1" customWidth="1"/>
    <col min="9" max="9" width="6.83203125" bestFit="1" customWidth="1"/>
    <col min="10" max="10" width="21.83203125" bestFit="1" customWidth="1"/>
    <col min="11" max="11" width="23.08203125" bestFit="1" customWidth="1"/>
    <col min="12" max="12" width="6.83203125" customWidth="1"/>
    <col min="13" max="13" width="4.83203125" bestFit="1" customWidth="1"/>
    <col min="14" max="14" width="6.83203125" bestFit="1" customWidth="1"/>
    <col min="15" max="15" width="5.83203125" bestFit="1" customWidth="1"/>
    <col min="16" max="17" width="7.83203125" bestFit="1" customWidth="1"/>
    <col min="18" max="18" width="5.83203125" bestFit="1" customWidth="1"/>
    <col min="19" max="20" width="6.83203125" bestFit="1" customWidth="1"/>
    <col min="21" max="21" width="4.83203125" bestFit="1" customWidth="1"/>
    <col min="22" max="22" width="7.83203125" bestFit="1" customWidth="1"/>
    <col min="23" max="24" width="6.83203125" bestFit="1" customWidth="1"/>
    <col min="25" max="26" width="5.83203125" bestFit="1" customWidth="1"/>
    <col min="27" max="27" width="6.83203125" bestFit="1" customWidth="1"/>
    <col min="28" max="32" width="5.83203125" bestFit="1" customWidth="1"/>
    <col min="33" max="33" width="4.83203125" bestFit="1" customWidth="1"/>
    <col min="34" max="34" width="7.83203125" bestFit="1" customWidth="1"/>
    <col min="35" max="35" width="6.83203125" bestFit="1" customWidth="1"/>
    <col min="36" max="36" width="5.83203125" bestFit="1" customWidth="1"/>
    <col min="37" max="37" width="4.83203125" bestFit="1" customWidth="1"/>
    <col min="38" max="39" width="5.83203125" bestFit="1" customWidth="1"/>
    <col min="40" max="40" width="3.83203125" bestFit="1" customWidth="1"/>
    <col min="41" max="43" width="5.83203125" bestFit="1" customWidth="1"/>
    <col min="44" max="44" width="6.83203125" bestFit="1" customWidth="1"/>
    <col min="45" max="46" width="5.83203125" bestFit="1" customWidth="1"/>
    <col min="47" max="47" width="4.83203125" bestFit="1" customWidth="1"/>
    <col min="48" max="48" width="3.83203125" bestFit="1" customWidth="1"/>
    <col min="49" max="51" width="5.83203125" bestFit="1" customWidth="1"/>
    <col min="52" max="54" width="4.83203125" bestFit="1" customWidth="1"/>
    <col min="55" max="55" width="3.83203125" bestFit="1" customWidth="1"/>
    <col min="56" max="56" width="4.83203125" bestFit="1" customWidth="1"/>
    <col min="57" max="57" width="5.83203125" bestFit="1" customWidth="1"/>
    <col min="58" max="59" width="4.83203125" bestFit="1" customWidth="1"/>
    <col min="60" max="60" width="3.83203125" bestFit="1" customWidth="1"/>
    <col min="61" max="62" width="5.83203125" bestFit="1" customWidth="1"/>
    <col min="63" max="63" width="8.83203125" bestFit="1" customWidth="1"/>
    <col min="64" max="64" width="5.83203125" bestFit="1" customWidth="1"/>
    <col min="65" max="66" width="7.83203125" bestFit="1" customWidth="1"/>
    <col min="67" max="67" width="8.83203125" bestFit="1" customWidth="1"/>
    <col min="68" max="69" width="7.83203125" bestFit="1" customWidth="1"/>
    <col min="70" max="70" width="6.83203125" bestFit="1" customWidth="1"/>
    <col min="71" max="73" width="5.83203125" bestFit="1" customWidth="1"/>
    <col min="74" max="74" width="6.83203125" bestFit="1" customWidth="1"/>
    <col min="75" max="77" width="5.83203125" bestFit="1" customWidth="1"/>
    <col min="78" max="78" width="3.83203125" bestFit="1" customWidth="1"/>
    <col min="79" max="79" width="4.83203125" bestFit="1" customWidth="1"/>
    <col min="80" max="80" width="6.83203125" bestFit="1" customWidth="1"/>
    <col min="81" max="82" width="5.83203125" bestFit="1" customWidth="1"/>
    <col min="83" max="84" width="6.83203125" bestFit="1" customWidth="1"/>
    <col min="85" max="85" width="5.83203125" bestFit="1" customWidth="1"/>
    <col min="86" max="86" width="6.83203125" bestFit="1" customWidth="1"/>
    <col min="87" max="88" width="5.83203125" bestFit="1" customWidth="1"/>
    <col min="89" max="91" width="4.83203125" bestFit="1" customWidth="1"/>
    <col min="92" max="92" width="5.83203125" bestFit="1" customWidth="1"/>
    <col min="93" max="93" width="3.83203125" bestFit="1" customWidth="1"/>
    <col min="94" max="94" width="5.83203125" bestFit="1" customWidth="1"/>
    <col min="95" max="95" width="4.83203125" bestFit="1" customWidth="1"/>
    <col min="96" max="97" width="5.83203125" bestFit="1" customWidth="1"/>
    <col min="98" max="98" width="6.83203125" bestFit="1" customWidth="1"/>
    <col min="99" max="99" width="4.83203125" bestFit="1" customWidth="1"/>
    <col min="100" max="100" width="3.83203125" bestFit="1" customWidth="1"/>
    <col min="101" max="101" width="5.83203125" bestFit="1" customWidth="1"/>
    <col min="102" max="104" width="4.83203125" bestFit="1" customWidth="1"/>
    <col min="105" max="105" width="3.83203125" bestFit="1" customWidth="1"/>
    <col min="106" max="106" width="5.83203125" bestFit="1" customWidth="1"/>
    <col min="107" max="107" width="4.83203125" bestFit="1" customWidth="1"/>
    <col min="108" max="108" width="3.83203125" bestFit="1" customWidth="1"/>
    <col min="109" max="109" width="4.83203125" bestFit="1" customWidth="1"/>
    <col min="110" max="110" width="3.83203125" bestFit="1" customWidth="1"/>
    <col min="111" max="111" width="5.83203125" bestFit="1" customWidth="1"/>
    <col min="112" max="113" width="4.83203125" bestFit="1" customWidth="1"/>
    <col min="114" max="114" width="5.83203125" bestFit="1" customWidth="1"/>
    <col min="115" max="116" width="4.83203125" bestFit="1" customWidth="1"/>
    <col min="117" max="121" width="3.83203125" bestFit="1" customWidth="1"/>
    <col min="122" max="123" width="6.83203125" bestFit="1" customWidth="1"/>
    <col min="124" max="124" width="5.83203125" bestFit="1" customWidth="1"/>
    <col min="125" max="126" width="4.83203125" bestFit="1" customWidth="1"/>
    <col min="127" max="127" width="5.83203125" bestFit="1" customWidth="1"/>
    <col min="128" max="129" width="7.83203125" bestFit="1" customWidth="1"/>
    <col min="130" max="131" width="5.83203125" bestFit="1" customWidth="1"/>
    <col min="132" max="132" width="4.83203125" bestFit="1" customWidth="1"/>
    <col min="133" max="133" width="3.83203125" bestFit="1" customWidth="1"/>
    <col min="134" max="134" width="5.83203125" bestFit="1" customWidth="1"/>
    <col min="135" max="136" width="4.83203125" bestFit="1" customWidth="1"/>
    <col min="137" max="137" width="3.83203125" bestFit="1" customWidth="1"/>
    <col min="138" max="138" width="8.83203125" bestFit="1" customWidth="1"/>
    <col min="139" max="139" width="6.83203125" bestFit="1" customWidth="1"/>
    <col min="140" max="140" width="4.83203125" bestFit="1" customWidth="1"/>
    <col min="141" max="142" width="5.83203125" bestFit="1" customWidth="1"/>
    <col min="143" max="143" width="6.25" bestFit="1" customWidth="1"/>
    <col min="144" max="144" width="15.5" bestFit="1" customWidth="1"/>
  </cols>
  <sheetData>
    <row r="1" spans="1:12" x14ac:dyDescent="0.3">
      <c r="A1" s="34"/>
      <c r="B1" s="34"/>
      <c r="D1" s="39"/>
      <c r="E1" s="39"/>
      <c r="G1" s="39"/>
      <c r="H1" s="39"/>
      <c r="J1" s="39"/>
      <c r="K1" s="39"/>
    </row>
    <row r="2" spans="1:12" x14ac:dyDescent="0.3">
      <c r="A2" s="4" t="s">
        <v>431</v>
      </c>
      <c r="B2" t="s">
        <v>833</v>
      </c>
      <c r="D2" s="4" t="s">
        <v>431</v>
      </c>
      <c r="E2" t="s">
        <v>188</v>
      </c>
      <c r="G2" s="4" t="s">
        <v>431</v>
      </c>
      <c r="H2" t="s">
        <v>188</v>
      </c>
      <c r="J2" s="4" t="s">
        <v>431</v>
      </c>
      <c r="K2" t="s">
        <v>188</v>
      </c>
    </row>
    <row r="4" spans="1:12" x14ac:dyDescent="0.3">
      <c r="A4" s="4" t="s">
        <v>187</v>
      </c>
      <c r="B4" t="s">
        <v>834</v>
      </c>
      <c r="D4" s="4" t="s">
        <v>187</v>
      </c>
      <c r="E4" t="s">
        <v>834</v>
      </c>
      <c r="G4" s="4" t="s">
        <v>187</v>
      </c>
      <c r="H4" t="s">
        <v>834</v>
      </c>
      <c r="J4" s="4" t="s">
        <v>187</v>
      </c>
      <c r="K4" t="s">
        <v>834</v>
      </c>
    </row>
    <row r="5" spans="1:12" x14ac:dyDescent="0.3">
      <c r="A5" s="5" t="s">
        <v>133</v>
      </c>
      <c r="B5" s="15">
        <v>1200899.5238140838</v>
      </c>
      <c r="D5" s="5" t="s">
        <v>133</v>
      </c>
      <c r="E5" s="15">
        <v>1207417.0273925732</v>
      </c>
      <c r="G5" s="5" t="s">
        <v>133</v>
      </c>
      <c r="H5" s="15">
        <v>1207417.0273925732</v>
      </c>
      <c r="J5" s="5" t="s">
        <v>133</v>
      </c>
      <c r="K5" s="15">
        <v>1207417.0273925732</v>
      </c>
      <c r="L5" s="15"/>
    </row>
    <row r="6" spans="1:12" x14ac:dyDescent="0.3">
      <c r="A6" s="5" t="s">
        <v>183</v>
      </c>
      <c r="B6" s="15">
        <v>748517.94301211392</v>
      </c>
      <c r="D6" s="5" t="s">
        <v>183</v>
      </c>
      <c r="E6" s="15">
        <v>698921.08325436758</v>
      </c>
      <c r="G6" s="5" t="s">
        <v>183</v>
      </c>
      <c r="H6" s="15">
        <v>698921.08325436758</v>
      </c>
      <c r="J6" s="5" t="s">
        <v>56</v>
      </c>
      <c r="K6" s="15">
        <v>796853.26912221476</v>
      </c>
      <c r="L6" s="15"/>
    </row>
    <row r="7" spans="1:12" x14ac:dyDescent="0.3">
      <c r="A7" s="5" t="s">
        <v>174</v>
      </c>
      <c r="B7" s="15">
        <v>344026.13519447646</v>
      </c>
      <c r="D7" s="5" t="s">
        <v>174</v>
      </c>
      <c r="E7" s="15">
        <v>344026.13519447646</v>
      </c>
      <c r="G7" s="5" t="s">
        <v>61</v>
      </c>
      <c r="H7" s="15">
        <v>454926.02935284341</v>
      </c>
      <c r="J7" s="5" t="s">
        <v>183</v>
      </c>
      <c r="K7" s="15">
        <v>698921.08325436758</v>
      </c>
      <c r="L7" s="15"/>
    </row>
    <row r="8" spans="1:12" x14ac:dyDescent="0.3">
      <c r="A8" s="5" t="s">
        <v>194</v>
      </c>
      <c r="B8" s="15">
        <v>237675.82129231252</v>
      </c>
      <c r="D8" s="5" t="s">
        <v>194</v>
      </c>
      <c r="E8" s="15">
        <v>237675.82129231252</v>
      </c>
      <c r="G8" s="5" t="s">
        <v>194</v>
      </c>
      <c r="H8" s="15">
        <v>237675.82129231252</v>
      </c>
      <c r="J8" s="5" t="s">
        <v>870</v>
      </c>
      <c r="K8" s="15">
        <v>351736.09528723173</v>
      </c>
      <c r="L8" s="15"/>
    </row>
    <row r="9" spans="1:12" x14ac:dyDescent="0.3">
      <c r="A9" s="5" t="s">
        <v>830</v>
      </c>
      <c r="B9" s="15">
        <v>194233.89813277722</v>
      </c>
      <c r="D9" s="5" t="s">
        <v>830</v>
      </c>
      <c r="E9" s="15">
        <v>194233.89813277722</v>
      </c>
      <c r="G9" s="5" t="s">
        <v>830</v>
      </c>
      <c r="H9" s="15">
        <v>194233.89813277722</v>
      </c>
      <c r="J9" s="5" t="s">
        <v>194</v>
      </c>
      <c r="K9" s="15">
        <v>237675.82129231252</v>
      </c>
      <c r="L9" s="1"/>
    </row>
    <row r="10" spans="1:12" x14ac:dyDescent="0.3">
      <c r="A10" s="5" t="s">
        <v>871</v>
      </c>
      <c r="B10" s="15">
        <v>123869.98469709833</v>
      </c>
      <c r="D10" s="5" t="s">
        <v>871</v>
      </c>
      <c r="E10" s="15">
        <v>123869.98469709832</v>
      </c>
      <c r="G10" s="5" t="s">
        <v>81</v>
      </c>
      <c r="H10" s="15">
        <v>147693.34163659436</v>
      </c>
      <c r="J10" s="5" t="s">
        <v>871</v>
      </c>
      <c r="K10" s="15">
        <v>123869.98469709832</v>
      </c>
      <c r="L10" s="1"/>
    </row>
    <row r="11" spans="1:12" x14ac:dyDescent="0.3">
      <c r="A11" s="5" t="s">
        <v>185</v>
      </c>
      <c r="B11" s="15">
        <v>105699.05239934969</v>
      </c>
      <c r="D11" s="5" t="s">
        <v>185</v>
      </c>
      <c r="E11" s="15">
        <v>105699.05239934969</v>
      </c>
      <c r="G11" s="5" t="s">
        <v>871</v>
      </c>
      <c r="H11" s="15">
        <v>123869.98469709832</v>
      </c>
      <c r="J11" s="5" t="s">
        <v>838</v>
      </c>
      <c r="K11" s="15">
        <v>20529.368316152715</v>
      </c>
    </row>
    <row r="12" spans="1:12" x14ac:dyDescent="0.3">
      <c r="A12" s="5" t="s">
        <v>177</v>
      </c>
      <c r="B12" s="15">
        <v>91503.920002373794</v>
      </c>
      <c r="D12" s="5" t="s">
        <v>177</v>
      </c>
      <c r="E12" s="15">
        <v>91503.920002373794</v>
      </c>
      <c r="G12" s="5" t="s">
        <v>865</v>
      </c>
      <c r="H12" s="15">
        <v>110827.44726860987</v>
      </c>
      <c r="J12" s="5" t="s">
        <v>853</v>
      </c>
      <c r="K12" s="15">
        <v>12482.254753325236</v>
      </c>
    </row>
    <row r="13" spans="1:12" x14ac:dyDescent="0.3">
      <c r="A13" s="5" t="s">
        <v>175</v>
      </c>
      <c r="B13" s="15">
        <v>88544.0330726838</v>
      </c>
      <c r="D13" s="5" t="s">
        <v>175</v>
      </c>
      <c r="E13" s="15">
        <v>88544.0330726838</v>
      </c>
      <c r="G13" s="5" t="s">
        <v>193</v>
      </c>
      <c r="H13" s="15">
        <v>106730.40087477749</v>
      </c>
      <c r="J13" s="5" t="s">
        <v>188</v>
      </c>
      <c r="K13" s="1"/>
    </row>
    <row r="14" spans="1:12" x14ac:dyDescent="0.3">
      <c r="A14" s="5" t="s">
        <v>146</v>
      </c>
      <c r="B14" s="15">
        <v>70488.487441911217</v>
      </c>
      <c r="D14" s="5" t="s">
        <v>146</v>
      </c>
      <c r="E14" s="15">
        <v>70488.487441911217</v>
      </c>
      <c r="G14" s="5" t="s">
        <v>192</v>
      </c>
      <c r="H14" s="15">
        <v>58490.289395649685</v>
      </c>
      <c r="J14" s="5" t="s">
        <v>189</v>
      </c>
      <c r="K14" s="1">
        <v>3449484.9041152759</v>
      </c>
    </row>
    <row r="15" spans="1:12" x14ac:dyDescent="0.3">
      <c r="A15" s="5" t="s">
        <v>176</v>
      </c>
      <c r="B15" s="15">
        <v>46799.225227380572</v>
      </c>
      <c r="D15" s="5" t="s">
        <v>176</v>
      </c>
      <c r="E15" s="15">
        <v>46799.225227380572</v>
      </c>
      <c r="G15" s="5" t="s">
        <v>859</v>
      </c>
      <c r="H15" s="15">
        <v>30618.883912433044</v>
      </c>
    </row>
    <row r="16" spans="1:12" x14ac:dyDescent="0.3">
      <c r="A16" s="5" t="s">
        <v>840</v>
      </c>
      <c r="B16" s="15">
        <v>42553.314287612768</v>
      </c>
      <c r="D16" s="5" t="s">
        <v>840</v>
      </c>
      <c r="E16" s="15">
        <v>42553.314287612768</v>
      </c>
      <c r="G16" s="5" t="s">
        <v>190</v>
      </c>
      <c r="H16" s="15">
        <v>24777.705568264373</v>
      </c>
    </row>
    <row r="17" spans="1:8" x14ac:dyDescent="0.3">
      <c r="A17" s="5" t="s">
        <v>147</v>
      </c>
      <c r="B17" s="15">
        <v>22283.892973532031</v>
      </c>
      <c r="D17" s="5" t="s">
        <v>147</v>
      </c>
      <c r="E17" s="15">
        <v>22283.892973532031</v>
      </c>
      <c r="G17" s="5" t="s">
        <v>861</v>
      </c>
      <c r="H17" s="15">
        <v>18210.527830649015</v>
      </c>
    </row>
    <row r="18" spans="1:8" x14ac:dyDescent="0.3">
      <c r="A18" s="5" t="s">
        <v>145</v>
      </c>
      <c r="B18" s="15">
        <v>22157.962620455874</v>
      </c>
      <c r="D18" s="5" t="s">
        <v>186</v>
      </c>
      <c r="E18" s="15">
        <v>22249.315729384445</v>
      </c>
      <c r="G18" s="5" t="s">
        <v>853</v>
      </c>
      <c r="H18" s="15">
        <v>12482.254753325236</v>
      </c>
    </row>
    <row r="19" spans="1:8" x14ac:dyDescent="0.3">
      <c r="A19" s="5" t="s">
        <v>179</v>
      </c>
      <c r="B19" s="15">
        <v>14966.840917132518</v>
      </c>
      <c r="D19" s="5" t="s">
        <v>179</v>
      </c>
      <c r="E19" s="15">
        <v>14966.840917132518</v>
      </c>
      <c r="G19" s="5" t="s">
        <v>841</v>
      </c>
      <c r="H19" s="15">
        <v>12390.231371051628</v>
      </c>
    </row>
    <row r="20" spans="1:8" x14ac:dyDescent="0.3">
      <c r="A20" s="5" t="s">
        <v>839</v>
      </c>
      <c r="B20" s="15">
        <v>14781.427411413004</v>
      </c>
      <c r="D20" s="5" t="s">
        <v>839</v>
      </c>
      <c r="E20" s="15">
        <v>14781.427411413004</v>
      </c>
      <c r="G20" s="5" t="s">
        <v>837</v>
      </c>
      <c r="H20" s="15">
        <v>4179.9601069090368</v>
      </c>
    </row>
    <row r="21" spans="1:8" x14ac:dyDescent="0.3">
      <c r="A21" s="5" t="s">
        <v>173</v>
      </c>
      <c r="B21" s="15">
        <v>14316.495916704893</v>
      </c>
      <c r="D21" s="5" t="s">
        <v>173</v>
      </c>
      <c r="E21" s="15">
        <v>14316.495916704893</v>
      </c>
      <c r="G21" s="5" t="s">
        <v>877</v>
      </c>
      <c r="H21" s="15">
        <v>3580.6701103699029</v>
      </c>
    </row>
    <row r="22" spans="1:8" x14ac:dyDescent="0.3">
      <c r="A22" s="5" t="s">
        <v>853</v>
      </c>
      <c r="B22" s="15">
        <v>12482.254753325236</v>
      </c>
      <c r="D22" s="5" t="s">
        <v>853</v>
      </c>
      <c r="E22" s="15">
        <v>12482.254753325236</v>
      </c>
      <c r="G22" s="5" t="s">
        <v>856</v>
      </c>
      <c r="H22" s="15">
        <v>1447.0026058433707</v>
      </c>
    </row>
    <row r="23" spans="1:8" x14ac:dyDescent="0.3">
      <c r="A23" s="5" t="s">
        <v>92</v>
      </c>
      <c r="B23" s="15">
        <v>11942.752498756099</v>
      </c>
      <c r="D23" s="5" t="s">
        <v>92</v>
      </c>
      <c r="E23" s="15">
        <v>11942.752498756099</v>
      </c>
      <c r="G23" s="5" t="s">
        <v>150</v>
      </c>
      <c r="H23" s="15">
        <v>871.83787966032469</v>
      </c>
    </row>
    <row r="24" spans="1:8" x14ac:dyDescent="0.3">
      <c r="A24" s="5" t="s">
        <v>44</v>
      </c>
      <c r="B24" s="15">
        <v>10940.305736605231</v>
      </c>
      <c r="D24" s="5" t="s">
        <v>44</v>
      </c>
      <c r="E24" s="15">
        <v>11441.915683209341</v>
      </c>
      <c r="G24" s="5" t="s">
        <v>153</v>
      </c>
      <c r="H24" s="15">
        <v>140.50667916666666</v>
      </c>
    </row>
    <row r="25" spans="1:8" x14ac:dyDescent="0.3">
      <c r="A25" s="5" t="s">
        <v>149</v>
      </c>
      <c r="B25" s="15">
        <v>9390.1964068399793</v>
      </c>
      <c r="D25" s="5" t="s">
        <v>149</v>
      </c>
      <c r="E25" s="15">
        <v>9390.1964068399793</v>
      </c>
      <c r="G25" s="5" t="s">
        <v>188</v>
      </c>
      <c r="H25" s="15"/>
    </row>
    <row r="26" spans="1:8" x14ac:dyDescent="0.3">
      <c r="A26" s="5" t="s">
        <v>25</v>
      </c>
      <c r="B26" s="15">
        <v>9134.7935654175672</v>
      </c>
      <c r="D26" s="5" t="s">
        <v>25</v>
      </c>
      <c r="E26" s="15">
        <v>9134.7935654175672</v>
      </c>
      <c r="G26" s="5" t="s">
        <v>189</v>
      </c>
      <c r="H26" s="1">
        <v>3449484.9041152764</v>
      </c>
    </row>
    <row r="27" spans="1:8" x14ac:dyDescent="0.3">
      <c r="A27" s="5" t="s">
        <v>869</v>
      </c>
      <c r="B27" s="15">
        <v>8039.3651689782646</v>
      </c>
      <c r="D27" s="5" t="s">
        <v>869</v>
      </c>
      <c r="E27" s="15">
        <v>8039.3651689782646</v>
      </c>
    </row>
    <row r="28" spans="1:8" x14ac:dyDescent="0.3">
      <c r="A28" s="5" t="s">
        <v>17</v>
      </c>
      <c r="B28" s="15">
        <v>6325.2368508246263</v>
      </c>
      <c r="D28" s="5" t="s">
        <v>17</v>
      </c>
      <c r="E28" s="15">
        <v>6325.2368508246263</v>
      </c>
    </row>
    <row r="29" spans="1:8" x14ac:dyDescent="0.3">
      <c r="A29" s="5" t="s">
        <v>6</v>
      </c>
      <c r="B29" s="15">
        <v>5951.3404074107148</v>
      </c>
      <c r="D29" s="5" t="s">
        <v>191</v>
      </c>
      <c r="E29" s="15">
        <v>6267.7753318929099</v>
      </c>
    </row>
    <row r="30" spans="1:8" x14ac:dyDescent="0.3">
      <c r="A30" s="5" t="s">
        <v>851</v>
      </c>
      <c r="B30" s="15">
        <v>5577.7248670794752</v>
      </c>
      <c r="D30" s="5" t="s">
        <v>6</v>
      </c>
      <c r="E30" s="15">
        <v>5951.3404074107148</v>
      </c>
    </row>
    <row r="31" spans="1:8" x14ac:dyDescent="0.3">
      <c r="A31" s="5" t="s">
        <v>852</v>
      </c>
      <c r="B31" s="15">
        <v>5491.1559431665764</v>
      </c>
      <c r="D31" s="5" t="s">
        <v>851</v>
      </c>
      <c r="E31" s="15">
        <v>5577.7248670794752</v>
      </c>
    </row>
    <row r="32" spans="1:8" x14ac:dyDescent="0.3">
      <c r="A32" s="5" t="s">
        <v>58</v>
      </c>
      <c r="B32" s="15">
        <v>5128.3948692601807</v>
      </c>
      <c r="D32" s="5" t="s">
        <v>58</v>
      </c>
      <c r="E32" s="15">
        <v>5128.3948692601807</v>
      </c>
    </row>
    <row r="33" spans="1:5" x14ac:dyDescent="0.3">
      <c r="A33" s="5" t="s">
        <v>94</v>
      </c>
      <c r="B33" s="15">
        <v>3724.4957920731567</v>
      </c>
      <c r="D33" s="5" t="s">
        <v>400</v>
      </c>
      <c r="E33" s="15">
        <v>2546.4169552548392</v>
      </c>
    </row>
    <row r="34" spans="1:5" x14ac:dyDescent="0.3">
      <c r="A34" s="5" t="s">
        <v>188</v>
      </c>
      <c r="B34" s="15">
        <v>2977.0695440751447</v>
      </c>
      <c r="D34" s="5" t="s">
        <v>34</v>
      </c>
      <c r="E34" s="15">
        <v>2410.9543621883172</v>
      </c>
    </row>
    <row r="35" spans="1:5" x14ac:dyDescent="0.3">
      <c r="A35" s="5" t="s">
        <v>400</v>
      </c>
      <c r="B35" s="15">
        <v>2546.4169552548392</v>
      </c>
      <c r="D35" s="5" t="s">
        <v>5</v>
      </c>
      <c r="E35" s="15">
        <v>1947.3698666029147</v>
      </c>
    </row>
    <row r="36" spans="1:5" x14ac:dyDescent="0.3">
      <c r="A36" s="5" t="s">
        <v>34</v>
      </c>
      <c r="B36" s="15">
        <v>2410.9543621883172</v>
      </c>
      <c r="D36" s="5" t="s">
        <v>14</v>
      </c>
      <c r="E36" s="15">
        <v>1681.443201098901</v>
      </c>
    </row>
    <row r="37" spans="1:5" x14ac:dyDescent="0.3">
      <c r="A37" s="5" t="s">
        <v>5</v>
      </c>
      <c r="B37" s="15">
        <v>1947.3698666029147</v>
      </c>
      <c r="D37" s="5" t="s">
        <v>836</v>
      </c>
      <c r="E37" s="15">
        <v>1448.6381081632653</v>
      </c>
    </row>
    <row r="38" spans="1:5" x14ac:dyDescent="0.3">
      <c r="A38" s="5" t="s">
        <v>14</v>
      </c>
      <c r="B38" s="15">
        <v>1681.443201098901</v>
      </c>
      <c r="D38" s="5" t="s">
        <v>150</v>
      </c>
      <c r="E38" s="15">
        <v>871.83787966032469</v>
      </c>
    </row>
    <row r="39" spans="1:5" x14ac:dyDescent="0.3">
      <c r="A39" s="5" t="s">
        <v>180</v>
      </c>
      <c r="B39" s="15">
        <v>1580.3258393863066</v>
      </c>
      <c r="D39" s="5" t="s">
        <v>835</v>
      </c>
      <c r="E39" s="15">
        <v>783.95213214285718</v>
      </c>
    </row>
    <row r="40" spans="1:5" x14ac:dyDescent="0.3">
      <c r="A40" s="5" t="s">
        <v>875</v>
      </c>
      <c r="B40" s="15">
        <v>1457.9465166666666</v>
      </c>
      <c r="D40" s="5" t="s">
        <v>847</v>
      </c>
      <c r="E40" s="15">
        <v>773.72178146718147</v>
      </c>
    </row>
    <row r="41" spans="1:5" x14ac:dyDescent="0.3">
      <c r="A41" s="5" t="s">
        <v>836</v>
      </c>
      <c r="B41" s="15">
        <v>1448.6381081632653</v>
      </c>
      <c r="D41" s="5" t="s">
        <v>40</v>
      </c>
      <c r="E41" s="15">
        <v>637.76469583333323</v>
      </c>
    </row>
    <row r="42" spans="1:5" x14ac:dyDescent="0.3">
      <c r="A42" s="5" t="s">
        <v>862</v>
      </c>
      <c r="B42" s="15">
        <v>882.7526421028715</v>
      </c>
      <c r="D42" s="5" t="s">
        <v>864</v>
      </c>
      <c r="E42" s="15">
        <v>587.84841504868666</v>
      </c>
    </row>
    <row r="43" spans="1:5" x14ac:dyDescent="0.3">
      <c r="A43" s="5" t="s">
        <v>150</v>
      </c>
      <c r="B43" s="15">
        <v>871.83787966032469</v>
      </c>
      <c r="D43" s="5" t="s">
        <v>857</v>
      </c>
      <c r="E43" s="15">
        <v>554.38772143439678</v>
      </c>
    </row>
    <row r="44" spans="1:5" x14ac:dyDescent="0.3">
      <c r="A44" s="5" t="s">
        <v>873</v>
      </c>
      <c r="B44" s="15">
        <v>821.99490071698506</v>
      </c>
      <c r="D44" s="5" t="s">
        <v>216</v>
      </c>
      <c r="E44" s="15">
        <v>517.78300079058101</v>
      </c>
    </row>
    <row r="45" spans="1:5" x14ac:dyDescent="0.3">
      <c r="A45" s="5" t="s">
        <v>835</v>
      </c>
      <c r="B45" s="15">
        <v>783.95213214285718</v>
      </c>
      <c r="D45" s="5" t="s">
        <v>863</v>
      </c>
      <c r="E45" s="15">
        <v>438.60440391371503</v>
      </c>
    </row>
    <row r="46" spans="1:5" x14ac:dyDescent="0.3">
      <c r="A46" s="5" t="s">
        <v>847</v>
      </c>
      <c r="B46" s="15">
        <v>773.72178146718147</v>
      </c>
      <c r="D46" s="5" t="s">
        <v>181</v>
      </c>
      <c r="E46" s="15">
        <v>417.30037678571421</v>
      </c>
    </row>
    <row r="47" spans="1:5" x14ac:dyDescent="0.3">
      <c r="A47" s="5" t="s">
        <v>96</v>
      </c>
      <c r="B47" s="15">
        <v>719.9364198236982</v>
      </c>
      <c r="D47" s="5" t="s">
        <v>848</v>
      </c>
      <c r="E47" s="15">
        <v>392.08204999999998</v>
      </c>
    </row>
    <row r="48" spans="1:5" x14ac:dyDescent="0.3">
      <c r="A48" s="5" t="s">
        <v>872</v>
      </c>
      <c r="B48" s="15">
        <v>659.38288226136331</v>
      </c>
      <c r="D48" s="5" t="s">
        <v>23</v>
      </c>
      <c r="E48" s="15">
        <v>283.98903571428571</v>
      </c>
    </row>
    <row r="49" spans="1:5" x14ac:dyDescent="0.3">
      <c r="A49" s="5" t="s">
        <v>40</v>
      </c>
      <c r="B49" s="15">
        <v>637.76469583333323</v>
      </c>
      <c r="D49" s="5" t="s">
        <v>35</v>
      </c>
      <c r="E49" s="15">
        <v>258.73302142857142</v>
      </c>
    </row>
    <row r="50" spans="1:5" x14ac:dyDescent="0.3">
      <c r="A50" s="5" t="s">
        <v>864</v>
      </c>
      <c r="B50" s="15">
        <v>587.84841504868666</v>
      </c>
      <c r="D50" s="5" t="s">
        <v>858</v>
      </c>
      <c r="E50" s="15">
        <v>245.42636071428575</v>
      </c>
    </row>
    <row r="51" spans="1:5" x14ac:dyDescent="0.3">
      <c r="A51" s="5" t="s">
        <v>208</v>
      </c>
      <c r="B51" s="15">
        <v>574.75540714285717</v>
      </c>
      <c r="D51" s="5" t="s">
        <v>854</v>
      </c>
      <c r="E51" s="15">
        <v>201.99794814810815</v>
      </c>
    </row>
    <row r="52" spans="1:5" x14ac:dyDescent="0.3">
      <c r="A52" s="5" t="s">
        <v>216</v>
      </c>
      <c r="B52" s="15">
        <v>517.78300079058101</v>
      </c>
      <c r="D52" s="5" t="s">
        <v>153</v>
      </c>
      <c r="E52" s="15">
        <v>140.50667916666666</v>
      </c>
    </row>
    <row r="53" spans="1:5" x14ac:dyDescent="0.3">
      <c r="A53" s="5" t="s">
        <v>151</v>
      </c>
      <c r="B53" s="15">
        <v>448.53587961961534</v>
      </c>
      <c r="D53" s="5" t="s">
        <v>148</v>
      </c>
      <c r="E53" s="15">
        <v>137.26094528583272</v>
      </c>
    </row>
    <row r="54" spans="1:5" x14ac:dyDescent="0.3">
      <c r="A54" s="5" t="s">
        <v>863</v>
      </c>
      <c r="B54" s="15">
        <v>438.60440391371503</v>
      </c>
      <c r="D54" s="5" t="s">
        <v>855</v>
      </c>
      <c r="E54" s="15">
        <v>102.76852121217917</v>
      </c>
    </row>
    <row r="55" spans="1:5" x14ac:dyDescent="0.3">
      <c r="A55" s="5" t="s">
        <v>848</v>
      </c>
      <c r="B55" s="15">
        <v>392.08204999999998</v>
      </c>
      <c r="D55" s="5" t="s">
        <v>845</v>
      </c>
      <c r="E55" s="15">
        <v>92.410907142857141</v>
      </c>
    </row>
    <row r="56" spans="1:5" x14ac:dyDescent="0.3">
      <c r="A56" s="5" t="s">
        <v>874</v>
      </c>
      <c r="B56" s="15">
        <v>366.96475306122454</v>
      </c>
      <c r="D56" s="5" t="s">
        <v>188</v>
      </c>
      <c r="E56" s="1"/>
    </row>
    <row r="57" spans="1:5" x14ac:dyDescent="0.3">
      <c r="A57" s="5" t="s">
        <v>38</v>
      </c>
      <c r="B57" s="15">
        <v>339.94855714285711</v>
      </c>
      <c r="D57" s="5" t="s">
        <v>189</v>
      </c>
      <c r="E57" s="1">
        <v>3449484.9041152764</v>
      </c>
    </row>
    <row r="58" spans="1:5" x14ac:dyDescent="0.3">
      <c r="A58" s="5" t="s">
        <v>23</v>
      </c>
      <c r="B58" s="15">
        <v>283.98903571428571</v>
      </c>
    </row>
    <row r="59" spans="1:5" x14ac:dyDescent="0.3">
      <c r="A59" s="5" t="s">
        <v>846</v>
      </c>
      <c r="B59" s="15">
        <v>283.50887678571428</v>
      </c>
    </row>
    <row r="60" spans="1:5" x14ac:dyDescent="0.3">
      <c r="A60" s="5" t="s">
        <v>844</v>
      </c>
      <c r="B60" s="15">
        <v>283.06594999999999</v>
      </c>
    </row>
    <row r="61" spans="1:5" x14ac:dyDescent="0.3">
      <c r="A61" s="5" t="s">
        <v>850</v>
      </c>
      <c r="B61" s="15">
        <v>279.37738714285717</v>
      </c>
    </row>
    <row r="62" spans="1:5" x14ac:dyDescent="0.3">
      <c r="A62" s="5" t="s">
        <v>842</v>
      </c>
      <c r="B62" s="15">
        <v>265.96352142857143</v>
      </c>
    </row>
    <row r="63" spans="1:5" x14ac:dyDescent="0.3">
      <c r="A63" s="5" t="s">
        <v>35</v>
      </c>
      <c r="B63" s="15">
        <v>258.73302142857142</v>
      </c>
    </row>
    <row r="64" spans="1:5" x14ac:dyDescent="0.3">
      <c r="A64" s="5" t="s">
        <v>182</v>
      </c>
      <c r="B64" s="15">
        <v>243.01728060974864</v>
      </c>
    </row>
    <row r="65" spans="1:2" x14ac:dyDescent="0.3">
      <c r="A65" s="5" t="s">
        <v>854</v>
      </c>
      <c r="B65" s="15">
        <v>201.99794814810815</v>
      </c>
    </row>
    <row r="66" spans="1:2" x14ac:dyDescent="0.3">
      <c r="A66" s="5" t="s">
        <v>403</v>
      </c>
      <c r="B66" s="15">
        <v>179.94047142857144</v>
      </c>
    </row>
    <row r="67" spans="1:2" x14ac:dyDescent="0.3">
      <c r="A67" s="5" t="s">
        <v>153</v>
      </c>
      <c r="B67" s="15">
        <v>140.50667916666666</v>
      </c>
    </row>
    <row r="68" spans="1:2" x14ac:dyDescent="0.3">
      <c r="A68" s="5" t="s">
        <v>148</v>
      </c>
      <c r="B68" s="15">
        <v>137.26094528583272</v>
      </c>
    </row>
    <row r="69" spans="1:2" x14ac:dyDescent="0.3">
      <c r="A69" s="5" t="s">
        <v>849</v>
      </c>
      <c r="B69" s="15">
        <v>127.8937642857143</v>
      </c>
    </row>
    <row r="70" spans="1:2" x14ac:dyDescent="0.3">
      <c r="A70" s="5" t="s">
        <v>545</v>
      </c>
      <c r="B70" s="15">
        <v>105.85184181478138</v>
      </c>
    </row>
    <row r="71" spans="1:2" x14ac:dyDescent="0.3">
      <c r="A71" s="5" t="s">
        <v>845</v>
      </c>
      <c r="B71" s="15">
        <v>92.410907142857141</v>
      </c>
    </row>
    <row r="72" spans="1:2" x14ac:dyDescent="0.3">
      <c r="A72" s="5" t="s">
        <v>843</v>
      </c>
      <c r="B72" s="15">
        <v>91.35310892857143</v>
      </c>
    </row>
    <row r="73" spans="1:2" x14ac:dyDescent="0.3">
      <c r="A73" s="5" t="s">
        <v>855</v>
      </c>
      <c r="B73" s="15">
        <v>83.073109087979844</v>
      </c>
    </row>
    <row r="74" spans="1:2" x14ac:dyDescent="0.3">
      <c r="A74" s="5" t="s">
        <v>200</v>
      </c>
      <c r="B74" s="15">
        <v>74.286514722222236</v>
      </c>
    </row>
    <row r="75" spans="1:2" x14ac:dyDescent="0.3">
      <c r="A75" s="5" t="s">
        <v>48</v>
      </c>
      <c r="B75" s="15">
        <v>70.660502318396809</v>
      </c>
    </row>
    <row r="76" spans="1:2" x14ac:dyDescent="0.3">
      <c r="A76" s="5" t="s">
        <v>33</v>
      </c>
      <c r="B76" s="15">
        <v>62.336512499999998</v>
      </c>
    </row>
    <row r="77" spans="1:2" x14ac:dyDescent="0.3">
      <c r="A77" s="5" t="s">
        <v>67</v>
      </c>
      <c r="B77" s="15">
        <v>50.364582142857145</v>
      </c>
    </row>
    <row r="78" spans="1:2" x14ac:dyDescent="0.3">
      <c r="A78" s="5" t="s">
        <v>154</v>
      </c>
      <c r="B78" s="15">
        <v>23.678292857142857</v>
      </c>
    </row>
    <row r="79" spans="1:2" x14ac:dyDescent="0.3">
      <c r="A79" s="5" t="s">
        <v>104</v>
      </c>
      <c r="B79" s="15">
        <v>19.695412124199326</v>
      </c>
    </row>
    <row r="80" spans="1:2" x14ac:dyDescent="0.3">
      <c r="A80" s="5" t="s">
        <v>63</v>
      </c>
      <c r="B80" s="15">
        <v>13.179071428571429</v>
      </c>
    </row>
    <row r="81" spans="1:2" x14ac:dyDescent="0.3">
      <c r="A81" s="5" t="s">
        <v>408</v>
      </c>
      <c r="B81" s="15">
        <v>12.63735</v>
      </c>
    </row>
    <row r="82" spans="1:2" x14ac:dyDescent="0.3">
      <c r="A82" s="5" t="s">
        <v>417</v>
      </c>
      <c r="B82" s="15">
        <v>2.4839571428571428</v>
      </c>
    </row>
    <row r="83" spans="1:2" x14ac:dyDescent="0.3">
      <c r="A83" s="5" t="s">
        <v>181</v>
      </c>
      <c r="B83" s="15">
        <v>1.8362357142857142</v>
      </c>
    </row>
    <row r="84" spans="1:2" x14ac:dyDescent="0.3">
      <c r="A84" s="5" t="s">
        <v>189</v>
      </c>
      <c r="B84" s="15">
        <v>3506703.107746664</v>
      </c>
    </row>
  </sheetData>
  <mergeCells count="4">
    <mergeCell ref="A1:B1"/>
    <mergeCell ref="D1:E1"/>
    <mergeCell ref="G1:H1"/>
    <mergeCell ref="J1:K1"/>
  </mergeCells>
  <pageMargins left="0.7" right="0.7" top="0.78740157499999996" bottom="0.78740157499999996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BD661A-7E3A-4D34-A9C4-203589E79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label_sheet</vt:lpstr>
      <vt:lpstr>hcat_remapping</vt:lpstr>
      <vt:lpstr>level_areas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Aasen Helge AGROSCOPE</dc:creator>
  <cp:lastModifiedBy>Lauber Thomas</cp:lastModifiedBy>
  <dcterms:created xsi:type="dcterms:W3CDTF">2024-12-04T13:24:29Z</dcterms:created>
  <dcterms:modified xsi:type="dcterms:W3CDTF">2026-06-11T15:49:48Z</dcterms:modified>
</cp:coreProperties>
</file>